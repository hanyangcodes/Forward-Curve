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defaultThemeVersion="202300"/>
  <mc:AlternateContent xmlns:mc="http://schemas.openxmlformats.org/markup-compatibility/2006">
    <mc:Choice Requires="x15">
      <x15ac:absPath xmlns:x15ac="http://schemas.microsoft.com/office/spreadsheetml/2010/11/ac" url="H:\Products\Gasoline\"/>
    </mc:Choice>
  </mc:AlternateContent>
  <xr:revisionPtr revIDLastSave="0" documentId="13_ncr:1_{A9ED3C1E-2EF4-421E-B265-370CE2E85A8D}" xr6:coauthVersionLast="47" xr6:coauthVersionMax="47" xr10:uidLastSave="{00000000-0000-0000-0000-000000000000}"/>
  <bookViews>
    <workbookView xWindow="-120" yWindow="-120" windowWidth="29040" windowHeight="15720" xr2:uid="{0C5E7F87-78B7-4893-85A1-1CE442E1D156}"/>
  </bookViews>
  <sheets>
    <sheet name="Sheet1" sheetId="1" r:id="rId1"/>
  </sheets>
  <externalReferences>
    <externalReference r:id="rId2"/>
    <externalReference r:id="rId3"/>
    <externalReference r:id="rId4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H3" i="1"/>
  <c r="G4" i="1"/>
  <c r="H4" i="1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H84" i="1"/>
  <c r="G85" i="1"/>
  <c r="H85" i="1"/>
  <c r="G86" i="1"/>
  <c r="H86" i="1"/>
  <c r="G87" i="1"/>
  <c r="H87" i="1"/>
  <c r="G88" i="1"/>
  <c r="H88" i="1"/>
  <c r="G89" i="1"/>
  <c r="H89" i="1"/>
  <c r="G90" i="1"/>
  <c r="H90" i="1"/>
  <c r="G91" i="1"/>
  <c r="H91" i="1"/>
  <c r="G92" i="1"/>
  <c r="H92" i="1"/>
  <c r="G93" i="1"/>
  <c r="H93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1" i="1"/>
  <c r="H101" i="1"/>
  <c r="G102" i="1"/>
  <c r="H102" i="1"/>
  <c r="G103" i="1"/>
  <c r="H103" i="1"/>
  <c r="G104" i="1"/>
  <c r="H104" i="1"/>
  <c r="G105" i="1"/>
  <c r="H105" i="1"/>
  <c r="G106" i="1"/>
  <c r="H106" i="1"/>
  <c r="G107" i="1"/>
  <c r="H107" i="1"/>
  <c r="G108" i="1"/>
  <c r="H108" i="1"/>
  <c r="G109" i="1"/>
  <c r="H109" i="1"/>
  <c r="G110" i="1"/>
  <c r="H110" i="1"/>
  <c r="G111" i="1"/>
  <c r="H111" i="1"/>
  <c r="G112" i="1"/>
  <c r="H112" i="1"/>
  <c r="G113" i="1"/>
  <c r="H113" i="1"/>
  <c r="G114" i="1"/>
  <c r="H114" i="1"/>
  <c r="G115" i="1"/>
  <c r="H115" i="1"/>
  <c r="G116" i="1"/>
  <c r="H116" i="1"/>
  <c r="G117" i="1"/>
  <c r="H117" i="1"/>
  <c r="G118" i="1"/>
  <c r="H118" i="1"/>
  <c r="G119" i="1"/>
  <c r="H119" i="1"/>
  <c r="G120" i="1"/>
  <c r="H120" i="1"/>
  <c r="G121" i="1"/>
  <c r="H121" i="1"/>
  <c r="G122" i="1"/>
  <c r="H122" i="1"/>
  <c r="G123" i="1"/>
  <c r="H123" i="1"/>
  <c r="G124" i="1"/>
  <c r="H124" i="1"/>
  <c r="G125" i="1"/>
  <c r="H125" i="1"/>
  <c r="G126" i="1"/>
  <c r="H126" i="1"/>
  <c r="G127" i="1"/>
  <c r="H127" i="1"/>
  <c r="G128" i="1"/>
  <c r="H128" i="1"/>
  <c r="G129" i="1"/>
  <c r="H129" i="1"/>
  <c r="G130" i="1"/>
  <c r="H130" i="1"/>
  <c r="G131" i="1"/>
  <c r="H131" i="1"/>
  <c r="G132" i="1"/>
  <c r="H132" i="1"/>
  <c r="G133" i="1"/>
  <c r="H133" i="1"/>
  <c r="G134" i="1"/>
  <c r="H134" i="1"/>
  <c r="G135" i="1"/>
  <c r="H135" i="1"/>
  <c r="G136" i="1"/>
  <c r="H136" i="1"/>
  <c r="G137" i="1"/>
  <c r="H137" i="1"/>
  <c r="G138" i="1"/>
  <c r="H138" i="1"/>
  <c r="G139" i="1"/>
  <c r="H139" i="1"/>
  <c r="G140" i="1"/>
  <c r="H140" i="1"/>
  <c r="G141" i="1"/>
  <c r="H141" i="1"/>
  <c r="G142" i="1"/>
  <c r="H142" i="1"/>
  <c r="G143" i="1"/>
  <c r="H143" i="1"/>
  <c r="G144" i="1"/>
  <c r="H144" i="1"/>
  <c r="G145" i="1"/>
  <c r="H145" i="1"/>
  <c r="G146" i="1"/>
  <c r="H146" i="1"/>
  <c r="G147" i="1"/>
  <c r="H147" i="1"/>
  <c r="G148" i="1"/>
  <c r="H148" i="1"/>
  <c r="G149" i="1"/>
  <c r="H149" i="1"/>
  <c r="G150" i="1"/>
  <c r="H150" i="1"/>
  <c r="G151" i="1"/>
  <c r="H151" i="1"/>
  <c r="G152" i="1"/>
  <c r="H152" i="1"/>
  <c r="G153" i="1"/>
  <c r="H153" i="1"/>
  <c r="G154" i="1"/>
  <c r="H154" i="1"/>
  <c r="G155" i="1"/>
  <c r="H155" i="1"/>
  <c r="G156" i="1"/>
  <c r="H156" i="1"/>
  <c r="G157" i="1"/>
  <c r="H157" i="1"/>
  <c r="G158" i="1"/>
  <c r="H158" i="1"/>
  <c r="G159" i="1"/>
  <c r="H159" i="1"/>
  <c r="G160" i="1"/>
  <c r="H160" i="1"/>
  <c r="G161" i="1"/>
  <c r="H161" i="1"/>
  <c r="G162" i="1"/>
  <c r="H162" i="1"/>
  <c r="G163" i="1"/>
  <c r="H163" i="1"/>
  <c r="G164" i="1"/>
  <c r="H164" i="1"/>
  <c r="G165" i="1"/>
  <c r="H165" i="1"/>
  <c r="G166" i="1"/>
  <c r="H166" i="1"/>
  <c r="G167" i="1"/>
  <c r="H167" i="1"/>
  <c r="G168" i="1"/>
  <c r="H168" i="1"/>
  <c r="G169" i="1"/>
  <c r="H169" i="1"/>
  <c r="G170" i="1"/>
  <c r="H170" i="1"/>
  <c r="G171" i="1"/>
  <c r="H171" i="1"/>
  <c r="G172" i="1"/>
  <c r="H172" i="1"/>
  <c r="G173" i="1"/>
  <c r="H173" i="1"/>
  <c r="G174" i="1"/>
  <c r="H174" i="1"/>
  <c r="G175" i="1"/>
  <c r="H175" i="1"/>
  <c r="G176" i="1"/>
  <c r="H176" i="1"/>
  <c r="G177" i="1"/>
  <c r="H177" i="1"/>
  <c r="H2" i="1" l="1"/>
  <c r="G2" i="1"/>
  <c r="A2" i="1" l="1"/>
  <c r="E2" i="1" l="1" a="1"/>
  <c r="E2" i="1" s="1"/>
  <c r="M2" i="1" a="1"/>
  <c r="M2" i="1" s="1"/>
  <c r="L2" i="1" a="1"/>
  <c r="L2" i="1" s="1"/>
  <c r="D2" i="1" a="1"/>
  <c r="D2" i="1" s="1"/>
  <c r="K2" i="1"/>
  <c r="I2" i="1" a="1"/>
  <c r="I2" i="1" s="1"/>
  <c r="J2" i="1" a="1"/>
  <c r="J2" i="1" s="1"/>
  <c r="A3" i="1"/>
  <c r="F2" i="1" a="1"/>
  <c r="F2" i="1" s="1"/>
  <c r="L3" i="1" l="1" a="1"/>
  <c r="L3" i="1" s="1"/>
  <c r="M3" i="1" a="1"/>
  <c r="M3" i="1" s="1"/>
  <c r="A4" i="1"/>
  <c r="B3" i="1" a="1"/>
  <c r="B3" i="1" s="1"/>
  <c r="C3" i="1" a="1"/>
  <c r="C3" i="1" s="1"/>
  <c r="D3" i="1" a="1"/>
  <c r="D3" i="1" s="1"/>
  <c r="F3" i="1" a="1"/>
  <c r="F3" i="1" s="1"/>
  <c r="E3" i="1" a="1"/>
  <c r="E3" i="1" s="1"/>
  <c r="I3" i="1" a="1"/>
  <c r="I3" i="1" s="1"/>
  <c r="J3" i="1" a="1"/>
  <c r="J3" i="1" s="1"/>
  <c r="K3" i="1"/>
  <c r="C2" i="1" a="1"/>
  <c r="C2" i="1" s="1"/>
  <c r="B2" i="1" a="1"/>
  <c r="B2" i="1" s="1"/>
  <c r="L4" i="1" l="1" a="1"/>
  <c r="L4" i="1" s="1"/>
  <c r="M4" i="1" a="1"/>
  <c r="M4" i="1" s="1"/>
  <c r="A5" i="1"/>
  <c r="D4" i="1" a="1"/>
  <c r="D4" i="1" s="1"/>
  <c r="I4" i="1" a="1"/>
  <c r="I4" i="1" s="1"/>
  <c r="J4" i="1" a="1"/>
  <c r="J4" i="1" s="1"/>
  <c r="B4" i="1" a="1"/>
  <c r="B4" i="1" s="1"/>
  <c r="E4" i="1" a="1"/>
  <c r="E4" i="1" s="1"/>
  <c r="C4" i="1" a="1"/>
  <c r="C4" i="1" s="1"/>
  <c r="K4" i="1"/>
  <c r="F4" i="1" a="1"/>
  <c r="F4" i="1" s="1"/>
  <c r="L5" i="1" l="1" a="1"/>
  <c r="L5" i="1" s="1"/>
  <c r="M5" i="1" a="1"/>
  <c r="M5" i="1" s="1"/>
  <c r="A6" i="1"/>
  <c r="E5" i="1" a="1"/>
  <c r="E5" i="1" s="1"/>
  <c r="F5" i="1" a="1"/>
  <c r="F5" i="1" s="1"/>
  <c r="C5" i="1" a="1"/>
  <c r="C5" i="1" s="1"/>
  <c r="D5" i="1" a="1"/>
  <c r="D5" i="1" s="1"/>
  <c r="I5" i="1" a="1"/>
  <c r="I5" i="1" s="1"/>
  <c r="J5" i="1" a="1"/>
  <c r="J5" i="1" s="1"/>
  <c r="K5" i="1"/>
  <c r="B5" i="1" a="1"/>
  <c r="B5" i="1" s="1"/>
  <c r="L6" i="1" l="1" a="1"/>
  <c r="L6" i="1" s="1"/>
  <c r="M6" i="1" a="1"/>
  <c r="M6" i="1" s="1"/>
  <c r="A7" i="1"/>
  <c r="C6" i="1" a="1"/>
  <c r="C6" i="1" s="1"/>
  <c r="I6" i="1" a="1"/>
  <c r="I6" i="1" s="1"/>
  <c r="J6" i="1" a="1"/>
  <c r="J6" i="1" s="1"/>
  <c r="K6" i="1"/>
  <c r="F6" i="1" a="1"/>
  <c r="F6" i="1" s="1"/>
  <c r="B6" i="1" a="1"/>
  <c r="B6" i="1" s="1"/>
  <c r="D6" i="1" a="1"/>
  <c r="D6" i="1" s="1"/>
  <c r="E6" i="1" a="1"/>
  <c r="E6" i="1" s="1"/>
  <c r="L7" i="1" l="1" a="1"/>
  <c r="L7" i="1" s="1"/>
  <c r="M7" i="1" a="1"/>
  <c r="M7" i="1" s="1"/>
  <c r="A8" i="1"/>
  <c r="I7" i="1" a="1"/>
  <c r="I7" i="1" s="1"/>
  <c r="E7" i="1" a="1"/>
  <c r="E7" i="1" s="1"/>
  <c r="J7" i="1" a="1"/>
  <c r="J7" i="1" s="1"/>
  <c r="K7" i="1"/>
  <c r="B7" i="1" a="1"/>
  <c r="B7" i="1" s="1"/>
  <c r="F7" i="1" a="1"/>
  <c r="F7" i="1" s="1"/>
  <c r="C7" i="1" a="1"/>
  <c r="C7" i="1" s="1"/>
  <c r="D7" i="1" a="1"/>
  <c r="D7" i="1" s="1"/>
  <c r="L8" i="1" l="1" a="1"/>
  <c r="L8" i="1" s="1"/>
  <c r="M8" i="1" a="1"/>
  <c r="M8" i="1" s="1"/>
  <c r="A9" i="1"/>
  <c r="K8" i="1"/>
  <c r="I8" i="1" a="1"/>
  <c r="I8" i="1" s="1"/>
  <c r="D8" i="1" a="1"/>
  <c r="D8" i="1" s="1"/>
  <c r="F8" i="1" a="1"/>
  <c r="F8" i="1" s="1"/>
  <c r="J8" i="1" a="1"/>
  <c r="J8" i="1" s="1"/>
  <c r="C8" i="1" a="1"/>
  <c r="C8" i="1" s="1"/>
  <c r="E8" i="1" a="1"/>
  <c r="E8" i="1" s="1"/>
  <c r="B8" i="1" a="1"/>
  <c r="B8" i="1" s="1"/>
  <c r="M9" i="1" l="1" a="1"/>
  <c r="M9" i="1" s="1"/>
  <c r="L9" i="1" a="1"/>
  <c r="L9" i="1" s="1"/>
  <c r="A10" i="1"/>
  <c r="K9" i="1"/>
  <c r="E9" i="1" a="1"/>
  <c r="E9" i="1" s="1"/>
  <c r="F9" i="1" a="1"/>
  <c r="F9" i="1" s="1"/>
  <c r="B9" i="1" a="1"/>
  <c r="B9" i="1" s="1"/>
  <c r="C9" i="1" a="1"/>
  <c r="C9" i="1" s="1"/>
  <c r="D9" i="1" a="1"/>
  <c r="D9" i="1" s="1"/>
  <c r="I9" i="1" a="1"/>
  <c r="I9" i="1" s="1"/>
  <c r="J9" i="1" a="1"/>
  <c r="J9" i="1" s="1"/>
  <c r="L10" i="1" l="1" a="1"/>
  <c r="L10" i="1" s="1"/>
  <c r="M10" i="1" a="1"/>
  <c r="M10" i="1" s="1"/>
  <c r="A11" i="1"/>
  <c r="C10" i="1" a="1"/>
  <c r="C10" i="1" s="1"/>
  <c r="B10" i="1" a="1"/>
  <c r="B10" i="1" s="1"/>
  <c r="D10" i="1" a="1"/>
  <c r="D10" i="1" s="1"/>
  <c r="K10" i="1"/>
  <c r="I10" i="1" a="1"/>
  <c r="I10" i="1" s="1"/>
  <c r="J10" i="1" a="1"/>
  <c r="J10" i="1" s="1"/>
  <c r="E10" i="1" a="1"/>
  <c r="E10" i="1" s="1"/>
  <c r="F10" i="1" a="1"/>
  <c r="F10" i="1" s="1"/>
  <c r="L11" i="1" l="1" a="1"/>
  <c r="L11" i="1" s="1"/>
  <c r="M11" i="1" a="1"/>
  <c r="M11" i="1" s="1"/>
  <c r="A12" i="1"/>
  <c r="D11" i="1" a="1"/>
  <c r="D11" i="1" s="1"/>
  <c r="E11" i="1" a="1"/>
  <c r="E11" i="1" s="1"/>
  <c r="B11" i="1" a="1"/>
  <c r="B11" i="1" s="1"/>
  <c r="C11" i="1" a="1"/>
  <c r="C11" i="1" s="1"/>
  <c r="F11" i="1" a="1"/>
  <c r="F11" i="1" s="1"/>
  <c r="I11" i="1" a="1"/>
  <c r="I11" i="1" s="1"/>
  <c r="J11" i="1" a="1"/>
  <c r="J11" i="1" s="1"/>
  <c r="K11" i="1"/>
  <c r="L12" i="1" l="1" a="1"/>
  <c r="L12" i="1" s="1"/>
  <c r="M12" i="1" a="1"/>
  <c r="M12" i="1" s="1"/>
  <c r="A13" i="1"/>
  <c r="F12" i="1" a="1"/>
  <c r="F12" i="1" s="1"/>
  <c r="I12" i="1" a="1"/>
  <c r="I12" i="1" s="1"/>
  <c r="C12" i="1" a="1"/>
  <c r="C12" i="1" s="1"/>
  <c r="D12" i="1" a="1"/>
  <c r="D12" i="1" s="1"/>
  <c r="J12" i="1" a="1"/>
  <c r="J12" i="1" s="1"/>
  <c r="K12" i="1"/>
  <c r="B12" i="1" a="1"/>
  <c r="B12" i="1" s="1"/>
  <c r="E12" i="1" a="1"/>
  <c r="E12" i="1" s="1"/>
  <c r="L13" i="1" l="1" a="1"/>
  <c r="L13" i="1" s="1"/>
  <c r="M13" i="1" a="1"/>
  <c r="M13" i="1" s="1"/>
  <c r="A14" i="1"/>
  <c r="J13" i="1" a="1"/>
  <c r="J13" i="1" s="1"/>
  <c r="C13" i="1" a="1"/>
  <c r="C13" i="1" s="1"/>
  <c r="D13" i="1" a="1"/>
  <c r="D13" i="1" s="1"/>
  <c r="F13" i="1" a="1"/>
  <c r="F13" i="1" s="1"/>
  <c r="I13" i="1" a="1"/>
  <c r="I13" i="1" s="1"/>
  <c r="K13" i="1"/>
  <c r="B13" i="1" a="1"/>
  <c r="B13" i="1" s="1"/>
  <c r="E13" i="1" a="1"/>
  <c r="E13" i="1" s="1"/>
  <c r="L14" i="1" l="1" a="1"/>
  <c r="L14" i="1" s="1"/>
  <c r="M14" i="1" a="1"/>
  <c r="M14" i="1" s="1"/>
  <c r="A15" i="1"/>
  <c r="J14" i="1" a="1"/>
  <c r="J14" i="1" s="1"/>
  <c r="B14" i="1" a="1"/>
  <c r="B14" i="1" s="1"/>
  <c r="C14" i="1" a="1"/>
  <c r="C14" i="1" s="1"/>
  <c r="D14" i="1" a="1"/>
  <c r="D14" i="1" s="1"/>
  <c r="F14" i="1" a="1"/>
  <c r="F14" i="1" s="1"/>
  <c r="K14" i="1"/>
  <c r="E14" i="1" a="1"/>
  <c r="E14" i="1" s="1"/>
  <c r="I14" i="1" a="1"/>
  <c r="I14" i="1" s="1"/>
  <c r="L15" i="1" l="1" a="1"/>
  <c r="L15" i="1" s="1"/>
  <c r="M15" i="1" a="1"/>
  <c r="M15" i="1" s="1"/>
  <c r="A16" i="1"/>
  <c r="K15" i="1"/>
  <c r="C15" i="1" a="1"/>
  <c r="C15" i="1" s="1"/>
  <c r="F15" i="1" a="1"/>
  <c r="F15" i="1" s="1"/>
  <c r="I15" i="1" a="1"/>
  <c r="I15" i="1" s="1"/>
  <c r="B15" i="1" a="1"/>
  <c r="B15" i="1" s="1"/>
  <c r="D15" i="1" a="1"/>
  <c r="D15" i="1" s="1"/>
  <c r="J15" i="1" a="1"/>
  <c r="J15" i="1" s="1"/>
  <c r="E15" i="1" a="1"/>
  <c r="E15" i="1" s="1"/>
  <c r="M16" i="1" l="1" a="1"/>
  <c r="M16" i="1" s="1"/>
  <c r="L16" i="1" a="1"/>
  <c r="L16" i="1" s="1"/>
  <c r="A17" i="1"/>
  <c r="B16" i="1" a="1"/>
  <c r="B16" i="1" s="1"/>
  <c r="E16" i="1" a="1"/>
  <c r="E16" i="1" s="1"/>
  <c r="F16" i="1" a="1"/>
  <c r="F16" i="1" s="1"/>
  <c r="K16" i="1"/>
  <c r="J16" i="1" a="1"/>
  <c r="J16" i="1" s="1"/>
  <c r="C16" i="1" a="1"/>
  <c r="C16" i="1" s="1"/>
  <c r="D16" i="1" a="1"/>
  <c r="D16" i="1" s="1"/>
  <c r="I16" i="1" a="1"/>
  <c r="I16" i="1" s="1"/>
  <c r="M17" i="1" l="1" a="1"/>
  <c r="M17" i="1" s="1"/>
  <c r="L17" i="1" a="1"/>
  <c r="L17" i="1" s="1"/>
  <c r="A18" i="1"/>
  <c r="C17" i="1" a="1"/>
  <c r="C17" i="1" s="1"/>
  <c r="I17" i="1" a="1"/>
  <c r="I17" i="1" s="1"/>
  <c r="B17" i="1" a="1"/>
  <c r="B17" i="1" s="1"/>
  <c r="D17" i="1" a="1"/>
  <c r="D17" i="1" s="1"/>
  <c r="E17" i="1" a="1"/>
  <c r="E17" i="1" s="1"/>
  <c r="J17" i="1" a="1"/>
  <c r="J17" i="1" s="1"/>
  <c r="K17" i="1"/>
  <c r="F17" i="1" a="1"/>
  <c r="F17" i="1" s="1"/>
  <c r="L18" i="1" l="1" a="1"/>
  <c r="L18" i="1" s="1"/>
  <c r="M18" i="1" a="1"/>
  <c r="M18" i="1" s="1"/>
  <c r="A19" i="1"/>
  <c r="E18" i="1" a="1"/>
  <c r="E18" i="1" s="1"/>
  <c r="K18" i="1"/>
  <c r="F18" i="1" a="1"/>
  <c r="F18" i="1" s="1"/>
  <c r="I18" i="1" a="1"/>
  <c r="I18" i="1" s="1"/>
  <c r="J18" i="1" a="1"/>
  <c r="J18" i="1" s="1"/>
  <c r="C18" i="1" a="1"/>
  <c r="C18" i="1" s="1"/>
  <c r="D18" i="1" a="1"/>
  <c r="D18" i="1" s="1"/>
  <c r="B18" i="1" a="1"/>
  <c r="B18" i="1" s="1"/>
  <c r="L19" i="1" l="1" a="1"/>
  <c r="L19" i="1" s="1"/>
  <c r="M19" i="1" a="1"/>
  <c r="M19" i="1" s="1"/>
  <c r="A20" i="1"/>
  <c r="F19" i="1" a="1"/>
  <c r="F19" i="1" s="1"/>
  <c r="B19" i="1" a="1"/>
  <c r="B19" i="1" s="1"/>
  <c r="K19" i="1"/>
  <c r="C19" i="1" a="1"/>
  <c r="C19" i="1" s="1"/>
  <c r="E19" i="1" a="1"/>
  <c r="E19" i="1" s="1"/>
  <c r="J19" i="1" a="1"/>
  <c r="J19" i="1" s="1"/>
  <c r="D19" i="1" a="1"/>
  <c r="D19" i="1" s="1"/>
  <c r="I19" i="1" a="1"/>
  <c r="I19" i="1" s="1"/>
  <c r="L20" i="1" l="1" a="1"/>
  <c r="L20" i="1" s="1"/>
  <c r="M20" i="1" a="1"/>
  <c r="M20" i="1" s="1"/>
  <c r="A21" i="1"/>
  <c r="I20" i="1" a="1"/>
  <c r="I20" i="1" s="1"/>
  <c r="D20" i="1" a="1"/>
  <c r="D20" i="1" s="1"/>
  <c r="E20" i="1" a="1"/>
  <c r="E20" i="1" s="1"/>
  <c r="B20" i="1" a="1"/>
  <c r="B20" i="1" s="1"/>
  <c r="J20" i="1" a="1"/>
  <c r="J20" i="1" s="1"/>
  <c r="K20" i="1"/>
  <c r="C20" i="1" a="1"/>
  <c r="C20" i="1" s="1"/>
  <c r="F20" i="1" a="1"/>
  <c r="F20" i="1" s="1"/>
  <c r="L21" i="1" l="1" a="1"/>
  <c r="L21" i="1" s="1"/>
  <c r="M21" i="1" a="1"/>
  <c r="M21" i="1" s="1"/>
  <c r="A22" i="1"/>
  <c r="J21" i="1" a="1"/>
  <c r="J21" i="1" s="1"/>
  <c r="F21" i="1" a="1"/>
  <c r="F21" i="1" s="1"/>
  <c r="E21" i="1" a="1"/>
  <c r="E21" i="1" s="1"/>
  <c r="I21" i="1" a="1"/>
  <c r="I21" i="1" s="1"/>
  <c r="D21" i="1" a="1"/>
  <c r="D21" i="1" s="1"/>
  <c r="B21" i="1" a="1"/>
  <c r="B21" i="1" s="1"/>
  <c r="C21" i="1" a="1"/>
  <c r="C21" i="1" s="1"/>
  <c r="K21" i="1"/>
  <c r="M22" i="1" l="1" a="1"/>
  <c r="M22" i="1" s="1"/>
  <c r="L22" i="1" a="1"/>
  <c r="L22" i="1" s="1"/>
  <c r="A23" i="1"/>
  <c r="J22" i="1" a="1"/>
  <c r="J22" i="1" s="1"/>
  <c r="K22" i="1"/>
  <c r="F22" i="1" a="1"/>
  <c r="F22" i="1" s="1"/>
  <c r="D22" i="1" a="1"/>
  <c r="D22" i="1" s="1"/>
  <c r="E22" i="1" a="1"/>
  <c r="E22" i="1" s="1"/>
  <c r="I22" i="1" a="1"/>
  <c r="I22" i="1" s="1"/>
  <c r="B22" i="1" a="1"/>
  <c r="B22" i="1" s="1"/>
  <c r="C22" i="1" a="1"/>
  <c r="C22" i="1" s="1"/>
  <c r="L23" i="1" l="1" a="1"/>
  <c r="L23" i="1" s="1"/>
  <c r="M23" i="1" a="1"/>
  <c r="M23" i="1" s="1"/>
  <c r="A24" i="1"/>
  <c r="B23" i="1" a="1"/>
  <c r="B23" i="1" s="1"/>
  <c r="C23" i="1" a="1"/>
  <c r="C23" i="1" s="1"/>
  <c r="D23" i="1" a="1"/>
  <c r="D23" i="1" s="1"/>
  <c r="E23" i="1" a="1"/>
  <c r="E23" i="1" s="1"/>
  <c r="F23" i="1" a="1"/>
  <c r="F23" i="1" s="1"/>
  <c r="I23" i="1" a="1"/>
  <c r="I23" i="1" s="1"/>
  <c r="K23" i="1"/>
  <c r="J23" i="1" a="1"/>
  <c r="J23" i="1" s="1"/>
  <c r="M24" i="1" l="1" a="1"/>
  <c r="M24" i="1" s="1"/>
  <c r="L24" i="1" a="1"/>
  <c r="L24" i="1" s="1"/>
  <c r="A25" i="1"/>
  <c r="D24" i="1" a="1"/>
  <c r="D24" i="1" s="1"/>
  <c r="C24" i="1" a="1"/>
  <c r="C24" i="1" s="1"/>
  <c r="F24" i="1" a="1"/>
  <c r="F24" i="1" s="1"/>
  <c r="I24" i="1" a="1"/>
  <c r="I24" i="1" s="1"/>
  <c r="B24" i="1" a="1"/>
  <c r="B24" i="1" s="1"/>
  <c r="J24" i="1" a="1"/>
  <c r="J24" i="1" s="1"/>
  <c r="K24" i="1"/>
  <c r="E24" i="1" a="1"/>
  <c r="E24" i="1" s="1"/>
  <c r="L25" i="1" l="1" a="1"/>
  <c r="L25" i="1" s="1"/>
  <c r="M25" i="1" a="1"/>
  <c r="M25" i="1" s="1"/>
  <c r="A26" i="1"/>
  <c r="E25" i="1" a="1"/>
  <c r="E25" i="1" s="1"/>
  <c r="F25" i="1" a="1"/>
  <c r="F25" i="1" s="1"/>
  <c r="K25" i="1"/>
  <c r="B25" i="1" a="1"/>
  <c r="B25" i="1" s="1"/>
  <c r="C25" i="1" a="1"/>
  <c r="C25" i="1" s="1"/>
  <c r="D25" i="1" a="1"/>
  <c r="D25" i="1" s="1"/>
  <c r="I25" i="1" a="1"/>
  <c r="I25" i="1" s="1"/>
  <c r="J25" i="1" a="1"/>
  <c r="J25" i="1" s="1"/>
  <c r="L26" i="1" l="1" a="1"/>
  <c r="L26" i="1" s="1"/>
  <c r="M26" i="1" a="1"/>
  <c r="M26" i="1" s="1"/>
  <c r="A27" i="1"/>
  <c r="I26" i="1" a="1"/>
  <c r="I26" i="1" s="1"/>
  <c r="J26" i="1" a="1"/>
  <c r="J26" i="1" s="1"/>
  <c r="B26" i="1" a="1"/>
  <c r="B26" i="1" s="1"/>
  <c r="E26" i="1" a="1"/>
  <c r="E26" i="1" s="1"/>
  <c r="C26" i="1" a="1"/>
  <c r="C26" i="1" s="1"/>
  <c r="D26" i="1" a="1"/>
  <c r="D26" i="1" s="1"/>
  <c r="F26" i="1" a="1"/>
  <c r="F26" i="1" s="1"/>
  <c r="K26" i="1"/>
  <c r="L27" i="1" l="1" a="1"/>
  <c r="L27" i="1" s="1"/>
  <c r="M27" i="1" a="1"/>
  <c r="M27" i="1" s="1"/>
  <c r="A28" i="1"/>
  <c r="I27" i="1" a="1"/>
  <c r="I27" i="1" s="1"/>
  <c r="E27" i="1" a="1"/>
  <c r="E27" i="1" s="1"/>
  <c r="F27" i="1" a="1"/>
  <c r="F27" i="1" s="1"/>
  <c r="K27" i="1"/>
  <c r="J27" i="1" a="1"/>
  <c r="J27" i="1" s="1"/>
  <c r="B27" i="1" a="1"/>
  <c r="B27" i="1" s="1"/>
  <c r="C27" i="1" a="1"/>
  <c r="C27" i="1" s="1"/>
  <c r="D27" i="1" a="1"/>
  <c r="D27" i="1" s="1"/>
  <c r="L28" i="1" l="1" a="1"/>
  <c r="L28" i="1" s="1"/>
  <c r="M28" i="1" a="1"/>
  <c r="M28" i="1" s="1"/>
  <c r="A29" i="1"/>
  <c r="K28" i="1"/>
  <c r="B28" i="1" a="1"/>
  <c r="B28" i="1" s="1"/>
  <c r="C28" i="1" a="1"/>
  <c r="C28" i="1" s="1"/>
  <c r="J28" i="1" a="1"/>
  <c r="J28" i="1" s="1"/>
  <c r="E28" i="1" a="1"/>
  <c r="E28" i="1" s="1"/>
  <c r="F28" i="1" a="1"/>
  <c r="F28" i="1" s="1"/>
  <c r="D28" i="1" a="1"/>
  <c r="D28" i="1" s="1"/>
  <c r="I28" i="1" a="1"/>
  <c r="I28" i="1" s="1"/>
  <c r="M29" i="1" l="1" a="1"/>
  <c r="M29" i="1" s="1"/>
  <c r="L29" i="1" a="1"/>
  <c r="L29" i="1" s="1"/>
  <c r="A30" i="1"/>
  <c r="E29" i="1" a="1"/>
  <c r="E29" i="1" s="1"/>
  <c r="B29" i="1" a="1"/>
  <c r="B29" i="1" s="1"/>
  <c r="J29" i="1" a="1"/>
  <c r="J29" i="1" s="1"/>
  <c r="K29" i="1"/>
  <c r="F29" i="1" a="1"/>
  <c r="F29" i="1" s="1"/>
  <c r="I29" i="1" a="1"/>
  <c r="I29" i="1" s="1"/>
  <c r="C29" i="1" a="1"/>
  <c r="C29" i="1" s="1"/>
  <c r="D29" i="1" a="1"/>
  <c r="D29" i="1" s="1"/>
  <c r="L30" i="1" l="1" a="1"/>
  <c r="L30" i="1" s="1"/>
  <c r="M30" i="1" a="1"/>
  <c r="M30" i="1" s="1"/>
  <c r="A31" i="1"/>
  <c r="C30" i="1" a="1"/>
  <c r="C30" i="1" s="1"/>
  <c r="I30" i="1" a="1"/>
  <c r="I30" i="1" s="1"/>
  <c r="F30" i="1" a="1"/>
  <c r="F30" i="1" s="1"/>
  <c r="K30" i="1"/>
  <c r="B30" i="1" a="1"/>
  <c r="B30" i="1" s="1"/>
  <c r="J30" i="1" a="1"/>
  <c r="J30" i="1" s="1"/>
  <c r="D30" i="1" a="1"/>
  <c r="D30" i="1" s="1"/>
  <c r="E30" i="1" a="1"/>
  <c r="E30" i="1" s="1"/>
  <c r="L31" i="1" l="1" a="1"/>
  <c r="L31" i="1" s="1"/>
  <c r="M31" i="1" a="1"/>
  <c r="M31" i="1" s="1"/>
  <c r="A32" i="1"/>
  <c r="D31" i="1" a="1"/>
  <c r="D31" i="1" s="1"/>
  <c r="K31" i="1"/>
  <c r="J31" i="1" a="1"/>
  <c r="J31" i="1" s="1"/>
  <c r="I31" i="1" a="1"/>
  <c r="I31" i="1" s="1"/>
  <c r="B31" i="1" a="1"/>
  <c r="B31" i="1" s="1"/>
  <c r="F31" i="1" a="1"/>
  <c r="F31" i="1" s="1"/>
  <c r="C31" i="1" a="1"/>
  <c r="C31" i="1" s="1"/>
  <c r="E31" i="1" a="1"/>
  <c r="E31" i="1" s="1"/>
  <c r="L32" i="1" l="1" a="1"/>
  <c r="L32" i="1" s="1"/>
  <c r="M32" i="1" a="1"/>
  <c r="M32" i="1" s="1"/>
  <c r="A33" i="1"/>
  <c r="F32" i="1" a="1"/>
  <c r="F32" i="1" s="1"/>
  <c r="B32" i="1" a="1"/>
  <c r="B32" i="1" s="1"/>
  <c r="C32" i="1" a="1"/>
  <c r="C32" i="1" s="1"/>
  <c r="I32" i="1" a="1"/>
  <c r="I32" i="1" s="1"/>
  <c r="E32" i="1" a="1"/>
  <c r="E32" i="1" s="1"/>
  <c r="J32" i="1" a="1"/>
  <c r="J32" i="1" s="1"/>
  <c r="D32" i="1" a="1"/>
  <c r="D32" i="1" s="1"/>
  <c r="K32" i="1"/>
  <c r="L33" i="1" l="1" a="1"/>
  <c r="L33" i="1" s="1"/>
  <c r="M33" i="1" a="1"/>
  <c r="M33" i="1" s="1"/>
  <c r="A34" i="1"/>
  <c r="D33" i="1" a="1"/>
  <c r="D33" i="1" s="1"/>
  <c r="F33" i="1" a="1"/>
  <c r="F33" i="1" s="1"/>
  <c r="J33" i="1" a="1"/>
  <c r="J33" i="1" s="1"/>
  <c r="K33" i="1"/>
  <c r="B33" i="1" a="1"/>
  <c r="B33" i="1" s="1"/>
  <c r="C33" i="1" a="1"/>
  <c r="C33" i="1" s="1"/>
  <c r="I33" i="1" a="1"/>
  <c r="I33" i="1" s="1"/>
  <c r="E33" i="1" a="1"/>
  <c r="E33" i="1" s="1"/>
  <c r="L34" i="1" l="1" a="1"/>
  <c r="L34" i="1" s="1"/>
  <c r="M34" i="1" a="1"/>
  <c r="M34" i="1" s="1"/>
  <c r="A35" i="1"/>
  <c r="J34" i="1" a="1"/>
  <c r="J34" i="1" s="1"/>
  <c r="E34" i="1" a="1"/>
  <c r="E34" i="1" s="1"/>
  <c r="F34" i="1" a="1"/>
  <c r="F34" i="1" s="1"/>
  <c r="K34" i="1"/>
  <c r="D34" i="1" a="1"/>
  <c r="D34" i="1" s="1"/>
  <c r="I34" i="1" a="1"/>
  <c r="I34" i="1" s="1"/>
  <c r="B34" i="1" a="1"/>
  <c r="B34" i="1" s="1"/>
  <c r="C34" i="1" a="1"/>
  <c r="C34" i="1" s="1"/>
  <c r="L35" i="1" l="1" a="1"/>
  <c r="L35" i="1" s="1"/>
  <c r="M35" i="1" a="1"/>
  <c r="M35" i="1" s="1"/>
  <c r="A36" i="1"/>
  <c r="K35" i="1"/>
  <c r="I35" i="1" a="1"/>
  <c r="I35" i="1" s="1"/>
  <c r="B35" i="1" a="1"/>
  <c r="B35" i="1" s="1"/>
  <c r="C35" i="1" a="1"/>
  <c r="C35" i="1" s="1"/>
  <c r="F35" i="1" a="1"/>
  <c r="F35" i="1" s="1"/>
  <c r="E35" i="1" a="1"/>
  <c r="E35" i="1" s="1"/>
  <c r="D35" i="1" a="1"/>
  <c r="D35" i="1" s="1"/>
  <c r="J35" i="1" a="1"/>
  <c r="J35" i="1" s="1"/>
  <c r="M36" i="1" l="1" a="1"/>
  <c r="M36" i="1" s="1"/>
  <c r="L36" i="1" a="1"/>
  <c r="L36" i="1" s="1"/>
  <c r="A37" i="1"/>
  <c r="B36" i="1" a="1"/>
  <c r="B36" i="1" s="1"/>
  <c r="K36" i="1"/>
  <c r="E36" i="1" a="1"/>
  <c r="E36" i="1" s="1"/>
  <c r="I36" i="1" a="1"/>
  <c r="I36" i="1" s="1"/>
  <c r="J36" i="1" a="1"/>
  <c r="J36" i="1" s="1"/>
  <c r="C36" i="1" a="1"/>
  <c r="C36" i="1" s="1"/>
  <c r="D36" i="1" a="1"/>
  <c r="D36" i="1" s="1"/>
  <c r="F36" i="1" a="1"/>
  <c r="F36" i="1" s="1"/>
  <c r="L37" i="1" l="1" a="1"/>
  <c r="L37" i="1" s="1"/>
  <c r="M37" i="1" a="1"/>
  <c r="M37" i="1" s="1"/>
  <c r="A38" i="1"/>
  <c r="C37" i="1" a="1"/>
  <c r="C37" i="1" s="1"/>
  <c r="B37" i="1" a="1"/>
  <c r="B37" i="1" s="1"/>
  <c r="J37" i="1" a="1"/>
  <c r="J37" i="1" s="1"/>
  <c r="F37" i="1" a="1"/>
  <c r="F37" i="1" s="1"/>
  <c r="D37" i="1" a="1"/>
  <c r="D37" i="1" s="1"/>
  <c r="I37" i="1" a="1"/>
  <c r="I37" i="1" s="1"/>
  <c r="K37" i="1"/>
  <c r="E37" i="1" a="1"/>
  <c r="E37" i="1" s="1"/>
  <c r="L38" i="1" l="1" a="1"/>
  <c r="L38" i="1" s="1"/>
  <c r="M38" i="1" a="1"/>
  <c r="M38" i="1" s="1"/>
  <c r="A39" i="1"/>
  <c r="E38" i="1" a="1"/>
  <c r="E38" i="1" s="1"/>
  <c r="D38" i="1" a="1"/>
  <c r="D38" i="1" s="1"/>
  <c r="F38" i="1" a="1"/>
  <c r="F38" i="1" s="1"/>
  <c r="B38" i="1" a="1"/>
  <c r="B38" i="1" s="1"/>
  <c r="C38" i="1" a="1"/>
  <c r="C38" i="1" s="1"/>
  <c r="J38" i="1" a="1"/>
  <c r="J38" i="1" s="1"/>
  <c r="K38" i="1"/>
  <c r="I38" i="1" a="1"/>
  <c r="I38" i="1" s="1"/>
  <c r="M39" i="1" l="1" a="1"/>
  <c r="M39" i="1" s="1"/>
  <c r="L39" i="1" a="1"/>
  <c r="L39" i="1" s="1"/>
  <c r="A40" i="1"/>
  <c r="F39" i="1" a="1"/>
  <c r="F39" i="1" s="1"/>
  <c r="I39" i="1" a="1"/>
  <c r="I39" i="1" s="1"/>
  <c r="D39" i="1" a="1"/>
  <c r="D39" i="1" s="1"/>
  <c r="E39" i="1" a="1"/>
  <c r="E39" i="1" s="1"/>
  <c r="C39" i="1" a="1"/>
  <c r="C39" i="1" s="1"/>
  <c r="B39" i="1" a="1"/>
  <c r="B39" i="1" s="1"/>
  <c r="J39" i="1" a="1"/>
  <c r="J39" i="1" s="1"/>
  <c r="K39" i="1"/>
  <c r="L40" i="1" l="1" a="1"/>
  <c r="L40" i="1" s="1"/>
  <c r="M40" i="1" a="1"/>
  <c r="M40" i="1" s="1"/>
  <c r="A41" i="1"/>
  <c r="I40" i="1" a="1"/>
  <c r="I40" i="1" s="1"/>
  <c r="K40" i="1"/>
  <c r="J40" i="1" a="1"/>
  <c r="J40" i="1" s="1"/>
  <c r="B40" i="1" a="1"/>
  <c r="B40" i="1" s="1"/>
  <c r="D40" i="1" a="1"/>
  <c r="D40" i="1" s="1"/>
  <c r="E40" i="1" a="1"/>
  <c r="E40" i="1" s="1"/>
  <c r="F40" i="1" a="1"/>
  <c r="F40" i="1" s="1"/>
  <c r="C40" i="1" a="1"/>
  <c r="C40" i="1" s="1"/>
  <c r="L41" i="1" l="1" a="1"/>
  <c r="L41" i="1" s="1"/>
  <c r="M41" i="1" a="1"/>
  <c r="M41" i="1" s="1"/>
  <c r="A42" i="1"/>
  <c r="J41" i="1" a="1"/>
  <c r="J41" i="1" s="1"/>
  <c r="B41" i="1" a="1"/>
  <c r="B41" i="1" s="1"/>
  <c r="C41" i="1" a="1"/>
  <c r="C41" i="1" s="1"/>
  <c r="D41" i="1" a="1"/>
  <c r="D41" i="1" s="1"/>
  <c r="E41" i="1" a="1"/>
  <c r="E41" i="1" s="1"/>
  <c r="F41" i="1" a="1"/>
  <c r="F41" i="1" s="1"/>
  <c r="I41" i="1" a="1"/>
  <c r="I41" i="1" s="1"/>
  <c r="K41" i="1"/>
  <c r="M42" i="1" l="1" a="1"/>
  <c r="M42" i="1" s="1"/>
  <c r="L42" i="1" a="1"/>
  <c r="L42" i="1" s="1"/>
  <c r="A43" i="1"/>
  <c r="D42" i="1" a="1"/>
  <c r="D42" i="1" s="1"/>
  <c r="E42" i="1" a="1"/>
  <c r="E42" i="1" s="1"/>
  <c r="F42" i="1" a="1"/>
  <c r="F42" i="1" s="1"/>
  <c r="J42" i="1" a="1"/>
  <c r="J42" i="1" s="1"/>
  <c r="K42" i="1"/>
  <c r="C42" i="1" a="1"/>
  <c r="C42" i="1" s="1"/>
  <c r="I42" i="1" a="1"/>
  <c r="I42" i="1" s="1"/>
  <c r="B42" i="1" a="1"/>
  <c r="B42" i="1" s="1"/>
  <c r="L43" i="1" l="1" a="1"/>
  <c r="L43" i="1" s="1"/>
  <c r="M43" i="1" a="1"/>
  <c r="M43" i="1" s="1"/>
  <c r="A44" i="1"/>
  <c r="B43" i="1" a="1"/>
  <c r="B43" i="1" s="1"/>
  <c r="F43" i="1" a="1"/>
  <c r="F43" i="1" s="1"/>
  <c r="J43" i="1" a="1"/>
  <c r="J43" i="1" s="1"/>
  <c r="E43" i="1" a="1"/>
  <c r="E43" i="1" s="1"/>
  <c r="C43" i="1" a="1"/>
  <c r="C43" i="1" s="1"/>
  <c r="D43" i="1" a="1"/>
  <c r="D43" i="1" s="1"/>
  <c r="K43" i="1"/>
  <c r="I43" i="1" a="1"/>
  <c r="I43" i="1" s="1"/>
  <c r="M44" i="1" l="1" a="1"/>
  <c r="M44" i="1" s="1"/>
  <c r="L44" i="1" a="1"/>
  <c r="L44" i="1" s="1"/>
  <c r="A45" i="1"/>
  <c r="D44" i="1" a="1"/>
  <c r="D44" i="1" s="1"/>
  <c r="J44" i="1" a="1"/>
  <c r="J44" i="1" s="1"/>
  <c r="B44" i="1" a="1"/>
  <c r="B44" i="1" s="1"/>
  <c r="I44" i="1" a="1"/>
  <c r="I44" i="1" s="1"/>
  <c r="C44" i="1" a="1"/>
  <c r="C44" i="1" s="1"/>
  <c r="F44" i="1" a="1"/>
  <c r="F44" i="1" s="1"/>
  <c r="K44" i="1"/>
  <c r="E44" i="1" a="1"/>
  <c r="E44" i="1" s="1"/>
  <c r="L45" i="1" l="1" a="1"/>
  <c r="L45" i="1" s="1"/>
  <c r="M45" i="1" a="1"/>
  <c r="M45" i="1" s="1"/>
  <c r="A46" i="1"/>
  <c r="E45" i="1" a="1"/>
  <c r="E45" i="1" s="1"/>
  <c r="D45" i="1" a="1"/>
  <c r="D45" i="1" s="1"/>
  <c r="F45" i="1" a="1"/>
  <c r="F45" i="1" s="1"/>
  <c r="C45" i="1" a="1"/>
  <c r="C45" i="1" s="1"/>
  <c r="I45" i="1" a="1"/>
  <c r="I45" i="1" s="1"/>
  <c r="K45" i="1"/>
  <c r="B45" i="1" a="1"/>
  <c r="B45" i="1" s="1"/>
  <c r="J45" i="1" a="1"/>
  <c r="J45" i="1" s="1"/>
  <c r="M46" i="1" l="1" a="1"/>
  <c r="M46" i="1" s="1"/>
  <c r="L46" i="1" a="1"/>
  <c r="L46" i="1" s="1"/>
  <c r="A47" i="1"/>
  <c r="C46" i="1" a="1"/>
  <c r="C46" i="1" s="1"/>
  <c r="J46" i="1" a="1"/>
  <c r="J46" i="1" s="1"/>
  <c r="E46" i="1" a="1"/>
  <c r="E46" i="1" s="1"/>
  <c r="B46" i="1" a="1"/>
  <c r="B46" i="1" s="1"/>
  <c r="D46" i="1" a="1"/>
  <c r="D46" i="1" s="1"/>
  <c r="I46" i="1" a="1"/>
  <c r="I46" i="1" s="1"/>
  <c r="K46" i="1"/>
  <c r="F46" i="1" a="1"/>
  <c r="F46" i="1" s="1"/>
  <c r="M47" i="1" l="1" a="1"/>
  <c r="M47" i="1" s="1"/>
  <c r="L47" i="1" a="1"/>
  <c r="L47" i="1" s="1"/>
  <c r="A48" i="1"/>
  <c r="I47" i="1" a="1"/>
  <c r="I47" i="1" s="1"/>
  <c r="E47" i="1" a="1"/>
  <c r="E47" i="1" s="1"/>
  <c r="B47" i="1" a="1"/>
  <c r="B47" i="1" s="1"/>
  <c r="C47" i="1" a="1"/>
  <c r="C47" i="1" s="1"/>
  <c r="F47" i="1" a="1"/>
  <c r="F47" i="1" s="1"/>
  <c r="J47" i="1" a="1"/>
  <c r="J47" i="1" s="1"/>
  <c r="D47" i="1" a="1"/>
  <c r="D47" i="1" s="1"/>
  <c r="K47" i="1"/>
  <c r="L48" i="1" l="1" a="1"/>
  <c r="L48" i="1" s="1"/>
  <c r="M48" i="1" a="1"/>
  <c r="M48" i="1" s="1"/>
  <c r="A49" i="1"/>
  <c r="K48" i="1"/>
  <c r="D48" i="1" a="1"/>
  <c r="D48" i="1" s="1"/>
  <c r="C48" i="1" a="1"/>
  <c r="C48" i="1" s="1"/>
  <c r="F48" i="1" a="1"/>
  <c r="F48" i="1" s="1"/>
  <c r="B48" i="1" a="1"/>
  <c r="B48" i="1" s="1"/>
  <c r="E48" i="1" a="1"/>
  <c r="E48" i="1" s="1"/>
  <c r="J48" i="1" a="1"/>
  <c r="J48" i="1" s="1"/>
  <c r="I48" i="1" a="1"/>
  <c r="I48" i="1" s="1"/>
  <c r="L49" i="1" l="1" a="1"/>
  <c r="L49" i="1" s="1"/>
  <c r="M49" i="1" a="1"/>
  <c r="M49" i="1" s="1"/>
  <c r="A50" i="1"/>
  <c r="K49" i="1"/>
  <c r="F49" i="1" a="1"/>
  <c r="F49" i="1" s="1"/>
  <c r="I49" i="1" a="1"/>
  <c r="I49" i="1" s="1"/>
  <c r="J49" i="1" a="1"/>
  <c r="J49" i="1" s="1"/>
  <c r="E49" i="1" a="1"/>
  <c r="E49" i="1" s="1"/>
  <c r="B49" i="1" a="1"/>
  <c r="B49" i="1" s="1"/>
  <c r="C49" i="1" a="1"/>
  <c r="C49" i="1" s="1"/>
  <c r="D49" i="1" a="1"/>
  <c r="D49" i="1" s="1"/>
  <c r="L50" i="1" l="1" a="1"/>
  <c r="L50" i="1" s="1"/>
  <c r="M50" i="1" a="1"/>
  <c r="M50" i="1" s="1"/>
  <c r="A51" i="1"/>
  <c r="C50" i="1" a="1"/>
  <c r="C50" i="1" s="1"/>
  <c r="K50" i="1"/>
  <c r="F50" i="1" a="1"/>
  <c r="F50" i="1" s="1"/>
  <c r="B50" i="1" a="1"/>
  <c r="B50" i="1" s="1"/>
  <c r="E50" i="1" a="1"/>
  <c r="E50" i="1" s="1"/>
  <c r="J50" i="1" a="1"/>
  <c r="J50" i="1" s="1"/>
  <c r="D50" i="1" a="1"/>
  <c r="D50" i="1" s="1"/>
  <c r="I50" i="1" a="1"/>
  <c r="I50" i="1" s="1"/>
  <c r="L51" i="1" l="1" a="1"/>
  <c r="L51" i="1" s="1"/>
  <c r="M51" i="1" a="1"/>
  <c r="M51" i="1" s="1"/>
  <c r="A52" i="1"/>
  <c r="D51" i="1" a="1"/>
  <c r="D51" i="1" s="1"/>
  <c r="E51" i="1" a="1"/>
  <c r="E51" i="1" s="1"/>
  <c r="B51" i="1" a="1"/>
  <c r="B51" i="1" s="1"/>
  <c r="C51" i="1" a="1"/>
  <c r="C51" i="1" s="1"/>
  <c r="I51" i="1" a="1"/>
  <c r="I51" i="1" s="1"/>
  <c r="J51" i="1" a="1"/>
  <c r="J51" i="1" s="1"/>
  <c r="K51" i="1"/>
  <c r="F51" i="1" a="1"/>
  <c r="F51" i="1" s="1"/>
  <c r="M52" i="1" l="1" a="1"/>
  <c r="M52" i="1" s="1"/>
  <c r="L52" i="1" a="1"/>
  <c r="L52" i="1" s="1"/>
  <c r="A53" i="1"/>
  <c r="F52" i="1" a="1"/>
  <c r="F52" i="1" s="1"/>
  <c r="E52" i="1" a="1"/>
  <c r="E52" i="1" s="1"/>
  <c r="C52" i="1" a="1"/>
  <c r="C52" i="1" s="1"/>
  <c r="B52" i="1" a="1"/>
  <c r="B52" i="1" s="1"/>
  <c r="D52" i="1" a="1"/>
  <c r="D52" i="1" s="1"/>
  <c r="K52" i="1"/>
  <c r="I52" i="1" a="1"/>
  <c r="I52" i="1" s="1"/>
  <c r="J52" i="1" a="1"/>
  <c r="J52" i="1" s="1"/>
  <c r="L53" i="1" l="1" a="1"/>
  <c r="L53" i="1" s="1"/>
  <c r="M53" i="1" a="1"/>
  <c r="M53" i="1" s="1"/>
  <c r="A54" i="1"/>
  <c r="J53" i="1" a="1"/>
  <c r="J53" i="1" s="1"/>
  <c r="I53" i="1" a="1"/>
  <c r="I53" i="1" s="1"/>
  <c r="K53" i="1"/>
  <c r="C53" i="1" a="1"/>
  <c r="C53" i="1" s="1"/>
  <c r="F53" i="1" a="1"/>
  <c r="F53" i="1" s="1"/>
  <c r="B53" i="1" a="1"/>
  <c r="B53" i="1" s="1"/>
  <c r="D53" i="1" a="1"/>
  <c r="D53" i="1" s="1"/>
  <c r="E53" i="1" a="1"/>
  <c r="E53" i="1" s="1"/>
  <c r="L54" i="1" l="1" a="1"/>
  <c r="L54" i="1" s="1"/>
  <c r="M54" i="1" a="1"/>
  <c r="M54" i="1" s="1"/>
  <c r="A55" i="1"/>
  <c r="J54" i="1" a="1"/>
  <c r="J54" i="1" s="1"/>
  <c r="I54" i="1" a="1"/>
  <c r="I54" i="1" s="1"/>
  <c r="C54" i="1" a="1"/>
  <c r="C54" i="1" s="1"/>
  <c r="D54" i="1" a="1"/>
  <c r="D54" i="1" s="1"/>
  <c r="F54" i="1" a="1"/>
  <c r="F54" i="1" s="1"/>
  <c r="K54" i="1"/>
  <c r="B54" i="1" a="1"/>
  <c r="B54" i="1" s="1"/>
  <c r="E54" i="1" a="1"/>
  <c r="E54" i="1" s="1"/>
  <c r="L55" i="1" l="1" a="1"/>
  <c r="L55" i="1" s="1"/>
  <c r="M55" i="1" a="1"/>
  <c r="M55" i="1" s="1"/>
  <c r="A56" i="1"/>
  <c r="K55" i="1"/>
  <c r="C55" i="1" a="1"/>
  <c r="C55" i="1" s="1"/>
  <c r="B55" i="1" a="1"/>
  <c r="B55" i="1" s="1"/>
  <c r="D55" i="1" a="1"/>
  <c r="D55" i="1" s="1"/>
  <c r="E55" i="1" a="1"/>
  <c r="E55" i="1" s="1"/>
  <c r="F55" i="1" a="1"/>
  <c r="F55" i="1" s="1"/>
  <c r="I55" i="1" a="1"/>
  <c r="I55" i="1" s="1"/>
  <c r="J55" i="1" a="1"/>
  <c r="J55" i="1" s="1"/>
  <c r="M56" i="1" l="1" a="1"/>
  <c r="M56" i="1" s="1"/>
  <c r="L56" i="1" a="1"/>
  <c r="L56" i="1" s="1"/>
  <c r="A57" i="1"/>
  <c r="B56" i="1" a="1"/>
  <c r="B56" i="1" s="1"/>
  <c r="E56" i="1" a="1"/>
  <c r="E56" i="1" s="1"/>
  <c r="F56" i="1" a="1"/>
  <c r="F56" i="1" s="1"/>
  <c r="C56" i="1" a="1"/>
  <c r="C56" i="1" s="1"/>
  <c r="I56" i="1" a="1"/>
  <c r="I56" i="1" s="1"/>
  <c r="J56" i="1" a="1"/>
  <c r="J56" i="1" s="1"/>
  <c r="K56" i="1"/>
  <c r="D56" i="1" a="1"/>
  <c r="D56" i="1" s="1"/>
  <c r="L57" i="1" l="1" a="1"/>
  <c r="L57" i="1" s="1"/>
  <c r="M57" i="1" a="1"/>
  <c r="M57" i="1" s="1"/>
  <c r="A58" i="1"/>
  <c r="C57" i="1" a="1"/>
  <c r="C57" i="1" s="1"/>
  <c r="I57" i="1" a="1"/>
  <c r="I57" i="1" s="1"/>
  <c r="K57" i="1"/>
  <c r="B57" i="1" a="1"/>
  <c r="B57" i="1" s="1"/>
  <c r="E57" i="1" a="1"/>
  <c r="E57" i="1" s="1"/>
  <c r="F57" i="1" a="1"/>
  <c r="F57" i="1" s="1"/>
  <c r="J57" i="1" a="1"/>
  <c r="J57" i="1" s="1"/>
  <c r="D57" i="1" a="1"/>
  <c r="D57" i="1" s="1"/>
  <c r="L58" i="1" l="1" a="1"/>
  <c r="L58" i="1" s="1"/>
  <c r="M58" i="1" a="1"/>
  <c r="M58" i="1" s="1"/>
  <c r="A59" i="1"/>
  <c r="E58" i="1" a="1"/>
  <c r="E58" i="1" s="1"/>
  <c r="K58" i="1"/>
  <c r="B58" i="1" a="1"/>
  <c r="B58" i="1" s="1"/>
  <c r="C58" i="1" a="1"/>
  <c r="C58" i="1" s="1"/>
  <c r="I58" i="1" a="1"/>
  <c r="I58" i="1" s="1"/>
  <c r="D58" i="1" a="1"/>
  <c r="D58" i="1" s="1"/>
  <c r="F58" i="1" a="1"/>
  <c r="F58" i="1" s="1"/>
  <c r="J58" i="1" a="1"/>
  <c r="J58" i="1" s="1"/>
  <c r="L59" i="1" l="1" a="1"/>
  <c r="L59" i="1" s="1"/>
  <c r="M59" i="1" a="1"/>
  <c r="M59" i="1" s="1"/>
  <c r="A60" i="1"/>
  <c r="F59" i="1" a="1"/>
  <c r="F59" i="1" s="1"/>
  <c r="B59" i="1" a="1"/>
  <c r="B59" i="1" s="1"/>
  <c r="E59" i="1" a="1"/>
  <c r="E59" i="1" s="1"/>
  <c r="J59" i="1" a="1"/>
  <c r="J59" i="1" s="1"/>
  <c r="D59" i="1" a="1"/>
  <c r="D59" i="1" s="1"/>
  <c r="I59" i="1" a="1"/>
  <c r="I59" i="1" s="1"/>
  <c r="K59" i="1"/>
  <c r="C59" i="1" a="1"/>
  <c r="C59" i="1" s="1"/>
  <c r="L60" i="1" l="1" a="1"/>
  <c r="L60" i="1" s="1"/>
  <c r="M60" i="1" a="1"/>
  <c r="M60" i="1" s="1"/>
  <c r="A61" i="1"/>
  <c r="I60" i="1" a="1"/>
  <c r="I60" i="1" s="1"/>
  <c r="D60" i="1" a="1"/>
  <c r="D60" i="1" s="1"/>
  <c r="J60" i="1" a="1"/>
  <c r="J60" i="1" s="1"/>
  <c r="B60" i="1" a="1"/>
  <c r="B60" i="1" s="1"/>
  <c r="E60" i="1" a="1"/>
  <c r="E60" i="1" s="1"/>
  <c r="F60" i="1" a="1"/>
  <c r="F60" i="1" s="1"/>
  <c r="K60" i="1"/>
  <c r="C60" i="1" a="1"/>
  <c r="C60" i="1" s="1"/>
  <c r="L61" i="1" l="1" a="1"/>
  <c r="L61" i="1" s="1"/>
  <c r="M61" i="1" a="1"/>
  <c r="M61" i="1" s="1"/>
  <c r="A62" i="1"/>
  <c r="J61" i="1" a="1"/>
  <c r="J61" i="1" s="1"/>
  <c r="F61" i="1" a="1"/>
  <c r="F61" i="1" s="1"/>
  <c r="B61" i="1" a="1"/>
  <c r="B61" i="1" s="1"/>
  <c r="I61" i="1" a="1"/>
  <c r="I61" i="1" s="1"/>
  <c r="E61" i="1" a="1"/>
  <c r="E61" i="1" s="1"/>
  <c r="K61" i="1"/>
  <c r="C61" i="1" a="1"/>
  <c r="C61" i="1" s="1"/>
  <c r="D61" i="1" a="1"/>
  <c r="D61" i="1" s="1"/>
  <c r="L62" i="1" l="1" a="1"/>
  <c r="L62" i="1" s="1"/>
  <c r="M62" i="1" a="1"/>
  <c r="M62" i="1" s="1"/>
  <c r="A63" i="1"/>
  <c r="J62" i="1" a="1"/>
  <c r="J62" i="1" s="1"/>
  <c r="D62" i="1" a="1"/>
  <c r="D62" i="1" s="1"/>
  <c r="C62" i="1" a="1"/>
  <c r="C62" i="1" s="1"/>
  <c r="B62" i="1" a="1"/>
  <c r="B62" i="1" s="1"/>
  <c r="F62" i="1" a="1"/>
  <c r="F62" i="1" s="1"/>
  <c r="K62" i="1"/>
  <c r="E62" i="1" a="1"/>
  <c r="E62" i="1" s="1"/>
  <c r="I62" i="1" a="1"/>
  <c r="I62" i="1" s="1"/>
  <c r="L63" i="1" l="1" a="1"/>
  <c r="L63" i="1" s="1"/>
  <c r="M63" i="1" a="1"/>
  <c r="M63" i="1" s="1"/>
  <c r="A64" i="1"/>
  <c r="B63" i="1" a="1"/>
  <c r="B63" i="1" s="1"/>
  <c r="I63" i="1" a="1"/>
  <c r="I63" i="1" s="1"/>
  <c r="J63" i="1" a="1"/>
  <c r="J63" i="1" s="1"/>
  <c r="E63" i="1" a="1"/>
  <c r="E63" i="1" s="1"/>
  <c r="F63" i="1" a="1"/>
  <c r="F63" i="1" s="1"/>
  <c r="K63" i="1"/>
  <c r="C63" i="1" a="1"/>
  <c r="C63" i="1" s="1"/>
  <c r="D63" i="1" a="1"/>
  <c r="D63" i="1" s="1"/>
  <c r="L64" i="1" l="1" a="1"/>
  <c r="L64" i="1" s="1"/>
  <c r="M64" i="1" a="1"/>
  <c r="M64" i="1" s="1"/>
  <c r="A65" i="1"/>
  <c r="D64" i="1" a="1"/>
  <c r="D64" i="1" s="1"/>
  <c r="C64" i="1" a="1"/>
  <c r="C64" i="1" s="1"/>
  <c r="J64" i="1" a="1"/>
  <c r="J64" i="1" s="1"/>
  <c r="B64" i="1" a="1"/>
  <c r="B64" i="1" s="1"/>
  <c r="F64" i="1" a="1"/>
  <c r="F64" i="1" s="1"/>
  <c r="K64" i="1"/>
  <c r="E64" i="1" a="1"/>
  <c r="E64" i="1" s="1"/>
  <c r="I64" i="1" a="1"/>
  <c r="I64" i="1" s="1"/>
  <c r="L65" i="1" l="1" a="1"/>
  <c r="L65" i="1" s="1"/>
  <c r="M65" i="1" a="1"/>
  <c r="M65" i="1" s="1"/>
  <c r="A66" i="1"/>
  <c r="E65" i="1" a="1"/>
  <c r="E65" i="1" s="1"/>
  <c r="F65" i="1" a="1"/>
  <c r="F65" i="1" s="1"/>
  <c r="B65" i="1" a="1"/>
  <c r="B65" i="1" s="1"/>
  <c r="C65" i="1" a="1"/>
  <c r="C65" i="1" s="1"/>
  <c r="D65" i="1" a="1"/>
  <c r="D65" i="1" s="1"/>
  <c r="J65" i="1" a="1"/>
  <c r="J65" i="1" s="1"/>
  <c r="K65" i="1"/>
  <c r="I65" i="1" a="1"/>
  <c r="I65" i="1" s="1"/>
  <c r="L66" i="1" l="1" a="1"/>
  <c r="L66" i="1" s="1"/>
  <c r="M66" i="1" a="1"/>
  <c r="M66" i="1" s="1"/>
  <c r="A67" i="1"/>
  <c r="I66" i="1" a="1"/>
  <c r="I66" i="1" s="1"/>
  <c r="F66" i="1" a="1"/>
  <c r="F66" i="1" s="1"/>
  <c r="J66" i="1" a="1"/>
  <c r="J66" i="1" s="1"/>
  <c r="B66" i="1" a="1"/>
  <c r="B66" i="1" s="1"/>
  <c r="D66" i="1" a="1"/>
  <c r="D66" i="1" s="1"/>
  <c r="E66" i="1" a="1"/>
  <c r="E66" i="1" s="1"/>
  <c r="C66" i="1" a="1"/>
  <c r="C66" i="1" s="1"/>
  <c r="K66" i="1"/>
  <c r="M67" i="1" l="1" a="1"/>
  <c r="M67" i="1" s="1"/>
  <c r="L67" i="1" a="1"/>
  <c r="L67" i="1" s="1"/>
  <c r="A68" i="1"/>
  <c r="I67" i="1" a="1"/>
  <c r="I67" i="1" s="1"/>
  <c r="K67" i="1"/>
  <c r="B67" i="1" a="1"/>
  <c r="B67" i="1" s="1"/>
  <c r="F67" i="1" a="1"/>
  <c r="F67" i="1" s="1"/>
  <c r="J67" i="1" a="1"/>
  <c r="J67" i="1" s="1"/>
  <c r="C67" i="1" a="1"/>
  <c r="C67" i="1" s="1"/>
  <c r="D67" i="1" a="1"/>
  <c r="D67" i="1" s="1"/>
  <c r="E67" i="1" a="1"/>
  <c r="E67" i="1" s="1"/>
  <c r="L68" i="1" l="1" a="1"/>
  <c r="L68" i="1" s="1"/>
  <c r="M68" i="1" a="1"/>
  <c r="M68" i="1" s="1"/>
  <c r="A69" i="1"/>
  <c r="K68" i="1"/>
  <c r="B68" i="1" a="1"/>
  <c r="B68" i="1" s="1"/>
  <c r="C68" i="1" a="1"/>
  <c r="C68" i="1" s="1"/>
  <c r="D68" i="1" a="1"/>
  <c r="D68" i="1" s="1"/>
  <c r="F68" i="1" a="1"/>
  <c r="F68" i="1" s="1"/>
  <c r="E68" i="1" a="1"/>
  <c r="E68" i="1" s="1"/>
  <c r="J68" i="1" a="1"/>
  <c r="J68" i="1" s="1"/>
  <c r="I68" i="1" a="1"/>
  <c r="I68" i="1" s="1"/>
  <c r="L69" i="1" l="1" a="1"/>
  <c r="L69" i="1" s="1"/>
  <c r="M69" i="1" a="1"/>
  <c r="M69" i="1" s="1"/>
  <c r="A70" i="1"/>
  <c r="E69" i="1" a="1"/>
  <c r="E69" i="1" s="1"/>
  <c r="F69" i="1" a="1"/>
  <c r="F69" i="1" s="1"/>
  <c r="I69" i="1" a="1"/>
  <c r="I69" i="1" s="1"/>
  <c r="J69" i="1" a="1"/>
  <c r="J69" i="1" s="1"/>
  <c r="B69" i="1" a="1"/>
  <c r="B69" i="1" s="1"/>
  <c r="C69" i="1" a="1"/>
  <c r="C69" i="1" s="1"/>
  <c r="D69" i="1" a="1"/>
  <c r="D69" i="1" s="1"/>
  <c r="K69" i="1"/>
  <c r="L70" i="1" l="1" a="1"/>
  <c r="L70" i="1" s="1"/>
  <c r="M70" i="1" a="1"/>
  <c r="M70" i="1" s="1"/>
  <c r="A71" i="1"/>
  <c r="C70" i="1" a="1"/>
  <c r="C70" i="1" s="1"/>
  <c r="I70" i="1" a="1"/>
  <c r="I70" i="1" s="1"/>
  <c r="J70" i="1" a="1"/>
  <c r="J70" i="1" s="1"/>
  <c r="K70" i="1"/>
  <c r="D70" i="1" a="1"/>
  <c r="D70" i="1" s="1"/>
  <c r="E70" i="1" a="1"/>
  <c r="E70" i="1" s="1"/>
  <c r="F70" i="1" a="1"/>
  <c r="F70" i="1" s="1"/>
  <c r="B70" i="1" a="1"/>
  <c r="B70" i="1" s="1"/>
  <c r="M71" i="1" l="1" a="1"/>
  <c r="M71" i="1" s="1"/>
  <c r="L71" i="1" a="1"/>
  <c r="L71" i="1" s="1"/>
  <c r="A72" i="1"/>
  <c r="D71" i="1" a="1"/>
  <c r="D71" i="1" s="1"/>
  <c r="K71" i="1"/>
  <c r="I71" i="1" a="1"/>
  <c r="I71" i="1" s="1"/>
  <c r="F71" i="1" a="1"/>
  <c r="F71" i="1" s="1"/>
  <c r="J71" i="1" a="1"/>
  <c r="J71" i="1" s="1"/>
  <c r="B71" i="1" a="1"/>
  <c r="B71" i="1" s="1"/>
  <c r="C71" i="1" a="1"/>
  <c r="C71" i="1" s="1"/>
  <c r="E71" i="1" a="1"/>
  <c r="E71" i="1" s="1"/>
  <c r="L72" i="1" l="1" a="1"/>
  <c r="L72" i="1" s="1"/>
  <c r="M72" i="1" a="1"/>
  <c r="M72" i="1" s="1"/>
  <c r="A73" i="1"/>
  <c r="F72" i="1" a="1"/>
  <c r="F72" i="1" s="1"/>
  <c r="C72" i="1" a="1"/>
  <c r="C72" i="1" s="1"/>
  <c r="D72" i="1" a="1"/>
  <c r="D72" i="1" s="1"/>
  <c r="E72" i="1" a="1"/>
  <c r="E72" i="1" s="1"/>
  <c r="B72" i="1" a="1"/>
  <c r="B72" i="1" s="1"/>
  <c r="K72" i="1"/>
  <c r="I72" i="1" a="1"/>
  <c r="I72" i="1" s="1"/>
  <c r="J72" i="1" a="1"/>
  <c r="J72" i="1" s="1"/>
  <c r="L73" i="1" l="1" a="1"/>
  <c r="L73" i="1" s="1"/>
  <c r="M73" i="1" a="1"/>
  <c r="M73" i="1" s="1"/>
  <c r="A74" i="1"/>
  <c r="D73" i="1" a="1"/>
  <c r="D73" i="1" s="1"/>
  <c r="F73" i="1" a="1"/>
  <c r="F73" i="1" s="1"/>
  <c r="I73" i="1" a="1"/>
  <c r="I73" i="1" s="1"/>
  <c r="E73" i="1" a="1"/>
  <c r="E73" i="1" s="1"/>
  <c r="J73" i="1" a="1"/>
  <c r="J73" i="1" s="1"/>
  <c r="B73" i="1" a="1"/>
  <c r="B73" i="1" s="1"/>
  <c r="C73" i="1" a="1"/>
  <c r="C73" i="1" s="1"/>
  <c r="K73" i="1"/>
  <c r="M74" i="1" l="1" a="1"/>
  <c r="M74" i="1" s="1"/>
  <c r="L74" i="1" a="1"/>
  <c r="L74" i="1" s="1"/>
  <c r="A75" i="1"/>
  <c r="J74" i="1" a="1"/>
  <c r="J74" i="1" s="1"/>
  <c r="E74" i="1" a="1"/>
  <c r="E74" i="1" s="1"/>
  <c r="K74" i="1"/>
  <c r="C74" i="1" a="1"/>
  <c r="C74" i="1" s="1"/>
  <c r="I74" i="1" a="1"/>
  <c r="I74" i="1" s="1"/>
  <c r="F74" i="1" a="1"/>
  <c r="F74" i="1" s="1"/>
  <c r="B74" i="1" a="1"/>
  <c r="B74" i="1" s="1"/>
  <c r="D74" i="1" a="1"/>
  <c r="D74" i="1" s="1"/>
  <c r="L75" i="1" l="1" a="1"/>
  <c r="L75" i="1" s="1"/>
  <c r="M75" i="1" a="1"/>
  <c r="M75" i="1" s="1"/>
  <c r="A76" i="1"/>
  <c r="K75" i="1"/>
  <c r="I75" i="1" a="1"/>
  <c r="I75" i="1" s="1"/>
  <c r="B75" i="1" a="1"/>
  <c r="B75" i="1" s="1"/>
  <c r="D75" i="1" a="1"/>
  <c r="D75" i="1" s="1"/>
  <c r="E75" i="1" a="1"/>
  <c r="E75" i="1" s="1"/>
  <c r="F75" i="1" a="1"/>
  <c r="F75" i="1" s="1"/>
  <c r="C75" i="1" a="1"/>
  <c r="C75" i="1" s="1"/>
  <c r="J75" i="1" a="1"/>
  <c r="J75" i="1" s="1"/>
  <c r="M76" i="1" l="1" a="1"/>
  <c r="M76" i="1" s="1"/>
  <c r="L76" i="1" a="1"/>
  <c r="L76" i="1" s="1"/>
  <c r="A77" i="1"/>
  <c r="B76" i="1" a="1"/>
  <c r="B76" i="1" s="1"/>
  <c r="K76" i="1"/>
  <c r="E76" i="1" a="1"/>
  <c r="E76" i="1" s="1"/>
  <c r="J76" i="1" a="1"/>
  <c r="J76" i="1" s="1"/>
  <c r="C76" i="1" a="1"/>
  <c r="C76" i="1" s="1"/>
  <c r="I76" i="1" a="1"/>
  <c r="I76" i="1" s="1"/>
  <c r="D76" i="1" a="1"/>
  <c r="D76" i="1" s="1"/>
  <c r="F76" i="1" a="1"/>
  <c r="F76" i="1" s="1"/>
  <c r="L77" i="1" l="1" a="1"/>
  <c r="L77" i="1" s="1"/>
  <c r="M77" i="1" a="1"/>
  <c r="M77" i="1" s="1"/>
  <c r="A78" i="1"/>
  <c r="C77" i="1" a="1"/>
  <c r="C77" i="1" s="1"/>
  <c r="B77" i="1" a="1"/>
  <c r="B77" i="1" s="1"/>
  <c r="I77" i="1" a="1"/>
  <c r="I77" i="1" s="1"/>
  <c r="J77" i="1" a="1"/>
  <c r="J77" i="1" s="1"/>
  <c r="E77" i="1" a="1"/>
  <c r="E77" i="1" s="1"/>
  <c r="F77" i="1" a="1"/>
  <c r="F77" i="1" s="1"/>
  <c r="D77" i="1" a="1"/>
  <c r="D77" i="1" s="1"/>
  <c r="K77" i="1"/>
  <c r="L78" i="1" l="1" a="1"/>
  <c r="L78" i="1" s="1"/>
  <c r="M78" i="1" a="1"/>
  <c r="M78" i="1" s="1"/>
  <c r="A79" i="1"/>
  <c r="E78" i="1" a="1"/>
  <c r="E78" i="1" s="1"/>
  <c r="D78" i="1" a="1"/>
  <c r="D78" i="1" s="1"/>
  <c r="B78" i="1" a="1"/>
  <c r="B78" i="1" s="1"/>
  <c r="C78" i="1" a="1"/>
  <c r="C78" i="1" s="1"/>
  <c r="I78" i="1" a="1"/>
  <c r="I78" i="1" s="1"/>
  <c r="J78" i="1" a="1"/>
  <c r="J78" i="1" s="1"/>
  <c r="K78" i="1"/>
  <c r="F78" i="1" a="1"/>
  <c r="F78" i="1" s="1"/>
  <c r="M79" i="1" l="1" a="1"/>
  <c r="M79" i="1" s="1"/>
  <c r="L79" i="1" a="1"/>
  <c r="L79" i="1" s="1"/>
  <c r="A80" i="1"/>
  <c r="F79" i="1" a="1"/>
  <c r="F79" i="1" s="1"/>
  <c r="I79" i="1" a="1"/>
  <c r="I79" i="1" s="1"/>
  <c r="C79" i="1" a="1"/>
  <c r="C79" i="1" s="1"/>
  <c r="D79" i="1" a="1"/>
  <c r="D79" i="1" s="1"/>
  <c r="B79" i="1" a="1"/>
  <c r="B79" i="1" s="1"/>
  <c r="E79" i="1" a="1"/>
  <c r="E79" i="1" s="1"/>
  <c r="J79" i="1" a="1"/>
  <c r="J79" i="1" s="1"/>
  <c r="K79" i="1"/>
  <c r="L80" i="1" l="1" a="1"/>
  <c r="L80" i="1" s="1"/>
  <c r="M80" i="1" a="1"/>
  <c r="M80" i="1" s="1"/>
  <c r="A81" i="1"/>
  <c r="I80" i="1" a="1"/>
  <c r="I80" i="1" s="1"/>
  <c r="K80" i="1"/>
  <c r="F80" i="1" a="1"/>
  <c r="F80" i="1" s="1"/>
  <c r="C80" i="1" a="1"/>
  <c r="C80" i="1" s="1"/>
  <c r="E80" i="1" a="1"/>
  <c r="E80" i="1" s="1"/>
  <c r="J80" i="1" a="1"/>
  <c r="J80" i="1" s="1"/>
  <c r="B80" i="1" a="1"/>
  <c r="B80" i="1" s="1"/>
  <c r="D80" i="1" a="1"/>
  <c r="D80" i="1" s="1"/>
  <c r="M81" i="1" l="1" a="1"/>
  <c r="M81" i="1" s="1"/>
  <c r="L81" i="1" a="1"/>
  <c r="L81" i="1" s="1"/>
  <c r="A82" i="1"/>
  <c r="J81" i="1" a="1"/>
  <c r="J81" i="1" s="1"/>
  <c r="K81" i="1"/>
  <c r="B81" i="1" a="1"/>
  <c r="B81" i="1" s="1"/>
  <c r="C81" i="1" a="1"/>
  <c r="C81" i="1" s="1"/>
  <c r="D81" i="1" a="1"/>
  <c r="D81" i="1" s="1"/>
  <c r="F81" i="1" a="1"/>
  <c r="F81" i="1" s="1"/>
  <c r="E81" i="1" a="1"/>
  <c r="E81" i="1" s="1"/>
  <c r="I81" i="1" a="1"/>
  <c r="I81" i="1" s="1"/>
  <c r="L82" i="1" l="1" a="1"/>
  <c r="L82" i="1" s="1"/>
  <c r="M82" i="1" a="1"/>
  <c r="M82" i="1" s="1"/>
  <c r="A83" i="1"/>
  <c r="D82" i="1" a="1"/>
  <c r="D82" i="1" s="1"/>
  <c r="B82" i="1" a="1"/>
  <c r="B82" i="1" s="1"/>
  <c r="I82" i="1" a="1"/>
  <c r="I82" i="1" s="1"/>
  <c r="J82" i="1" a="1"/>
  <c r="J82" i="1" s="1"/>
  <c r="K82" i="1"/>
  <c r="E82" i="1" a="1"/>
  <c r="E82" i="1" s="1"/>
  <c r="F82" i="1" a="1"/>
  <c r="F82" i="1" s="1"/>
  <c r="C82" i="1" a="1"/>
  <c r="C82" i="1" s="1"/>
  <c r="L83" i="1" l="1" a="1"/>
  <c r="L83" i="1" s="1"/>
  <c r="M83" i="1" a="1"/>
  <c r="M83" i="1" s="1"/>
  <c r="A84" i="1"/>
  <c r="B83" i="1" a="1"/>
  <c r="B83" i="1" s="1"/>
  <c r="F83" i="1" a="1"/>
  <c r="F83" i="1" s="1"/>
  <c r="E83" i="1" a="1"/>
  <c r="E83" i="1" s="1"/>
  <c r="I83" i="1" a="1"/>
  <c r="I83" i="1" s="1"/>
  <c r="D83" i="1" a="1"/>
  <c r="D83" i="1" s="1"/>
  <c r="K83" i="1"/>
  <c r="J83" i="1" a="1"/>
  <c r="J83" i="1" s="1"/>
  <c r="C83" i="1" a="1"/>
  <c r="C83" i="1" s="1"/>
  <c r="M84" i="1" l="1" a="1"/>
  <c r="M84" i="1" s="1"/>
  <c r="L84" i="1" a="1"/>
  <c r="L84" i="1" s="1"/>
  <c r="A85" i="1"/>
  <c r="D84" i="1" a="1"/>
  <c r="D84" i="1" s="1"/>
  <c r="J84" i="1" a="1"/>
  <c r="J84" i="1" s="1"/>
  <c r="K84" i="1"/>
  <c r="F84" i="1" a="1"/>
  <c r="F84" i="1" s="1"/>
  <c r="I84" i="1" a="1"/>
  <c r="I84" i="1" s="1"/>
  <c r="B84" i="1" a="1"/>
  <c r="B84" i="1" s="1"/>
  <c r="C84" i="1" a="1"/>
  <c r="C84" i="1" s="1"/>
  <c r="E84" i="1" a="1"/>
  <c r="E84" i="1" s="1"/>
  <c r="M85" i="1" l="1" a="1"/>
  <c r="M85" i="1" s="1"/>
  <c r="L85" i="1" a="1"/>
  <c r="L85" i="1" s="1"/>
  <c r="A86" i="1"/>
  <c r="E85" i="1" a="1"/>
  <c r="E85" i="1" s="1"/>
  <c r="B85" i="1" a="1"/>
  <c r="B85" i="1" s="1"/>
  <c r="C85" i="1" a="1"/>
  <c r="C85" i="1" s="1"/>
  <c r="F85" i="1" a="1"/>
  <c r="F85" i="1" s="1"/>
  <c r="J85" i="1" a="1"/>
  <c r="J85" i="1" s="1"/>
  <c r="K85" i="1"/>
  <c r="D85" i="1" a="1"/>
  <c r="D85" i="1" s="1"/>
  <c r="I85" i="1" a="1"/>
  <c r="I85" i="1" s="1"/>
  <c r="L86" i="1" l="1" a="1"/>
  <c r="L86" i="1" s="1"/>
  <c r="M86" i="1" a="1"/>
  <c r="M86" i="1" s="1"/>
  <c r="A87" i="1"/>
  <c r="C86" i="1" a="1"/>
  <c r="C86" i="1" s="1"/>
  <c r="E86" i="1" a="1"/>
  <c r="E86" i="1" s="1"/>
  <c r="J86" i="1" a="1"/>
  <c r="J86" i="1" s="1"/>
  <c r="K86" i="1"/>
  <c r="F86" i="1" a="1"/>
  <c r="F86" i="1" s="1"/>
  <c r="I86" i="1" a="1"/>
  <c r="I86" i="1" s="1"/>
  <c r="B86" i="1" a="1"/>
  <c r="B86" i="1" s="1"/>
  <c r="D86" i="1" a="1"/>
  <c r="D86" i="1" s="1"/>
  <c r="M87" i="1" l="1" a="1"/>
  <c r="M87" i="1" s="1"/>
  <c r="L87" i="1" a="1"/>
  <c r="L87" i="1" s="1"/>
  <c r="A88" i="1"/>
  <c r="I87" i="1" a="1"/>
  <c r="I87" i="1" s="1"/>
  <c r="E87" i="1" a="1"/>
  <c r="E87" i="1" s="1"/>
  <c r="J87" i="1" a="1"/>
  <c r="J87" i="1" s="1"/>
  <c r="B87" i="1" a="1"/>
  <c r="B87" i="1" s="1"/>
  <c r="D87" i="1" a="1"/>
  <c r="D87" i="1" s="1"/>
  <c r="K87" i="1"/>
  <c r="C87" i="1" a="1"/>
  <c r="C87" i="1" s="1"/>
  <c r="F87" i="1" a="1"/>
  <c r="F87" i="1" s="1"/>
  <c r="L88" i="1" l="1" a="1"/>
  <c r="L88" i="1" s="1"/>
  <c r="M88" i="1" a="1"/>
  <c r="M88" i="1" s="1"/>
  <c r="A89" i="1"/>
  <c r="K88" i="1"/>
  <c r="E88" i="1" a="1"/>
  <c r="E88" i="1" s="1"/>
  <c r="F88" i="1" a="1"/>
  <c r="F88" i="1" s="1"/>
  <c r="D88" i="1" a="1"/>
  <c r="D88" i="1" s="1"/>
  <c r="I88" i="1" a="1"/>
  <c r="I88" i="1" s="1"/>
  <c r="B88" i="1" a="1"/>
  <c r="B88" i="1" s="1"/>
  <c r="C88" i="1" a="1"/>
  <c r="C88" i="1" s="1"/>
  <c r="J88" i="1" a="1"/>
  <c r="J88" i="1" s="1"/>
  <c r="L89" i="1" l="1" a="1"/>
  <c r="L89" i="1" s="1"/>
  <c r="M89" i="1" a="1"/>
  <c r="M89" i="1" s="1"/>
  <c r="A90" i="1"/>
  <c r="K89" i="1"/>
  <c r="C89" i="1" a="1"/>
  <c r="C89" i="1" s="1"/>
  <c r="J89" i="1" a="1"/>
  <c r="J89" i="1" s="1"/>
  <c r="B89" i="1" a="1"/>
  <c r="B89" i="1" s="1"/>
  <c r="D89" i="1" a="1"/>
  <c r="D89" i="1" s="1"/>
  <c r="I89" i="1" a="1"/>
  <c r="I89" i="1" s="1"/>
  <c r="E89" i="1" a="1"/>
  <c r="E89" i="1" s="1"/>
  <c r="F89" i="1" a="1"/>
  <c r="F89" i="1" s="1"/>
  <c r="L90" i="1" l="1" a="1"/>
  <c r="L90" i="1" s="1"/>
  <c r="M90" i="1" a="1"/>
  <c r="M90" i="1" s="1"/>
  <c r="A91" i="1"/>
  <c r="C90" i="1" a="1"/>
  <c r="C90" i="1" s="1"/>
  <c r="F90" i="1" a="1"/>
  <c r="F90" i="1" s="1"/>
  <c r="E90" i="1" a="1"/>
  <c r="E90" i="1" s="1"/>
  <c r="I90" i="1" a="1"/>
  <c r="I90" i="1" s="1"/>
  <c r="K90" i="1"/>
  <c r="B90" i="1" a="1"/>
  <c r="B90" i="1" s="1"/>
  <c r="D90" i="1" a="1"/>
  <c r="D90" i="1" s="1"/>
  <c r="J90" i="1" a="1"/>
  <c r="J90" i="1" s="1"/>
  <c r="M91" i="1" l="1" a="1"/>
  <c r="M91" i="1" s="1"/>
  <c r="L91" i="1" a="1"/>
  <c r="L91" i="1" s="1"/>
  <c r="A92" i="1"/>
  <c r="D91" i="1" a="1"/>
  <c r="D91" i="1" s="1"/>
  <c r="E91" i="1" a="1"/>
  <c r="E91" i="1" s="1"/>
  <c r="K91" i="1"/>
  <c r="I91" i="1" a="1"/>
  <c r="I91" i="1" s="1"/>
  <c r="B91" i="1" a="1"/>
  <c r="B91" i="1" s="1"/>
  <c r="F91" i="1" a="1"/>
  <c r="F91" i="1" s="1"/>
  <c r="J91" i="1" a="1"/>
  <c r="J91" i="1" s="1"/>
  <c r="C91" i="1" a="1"/>
  <c r="C91" i="1" s="1"/>
  <c r="L92" i="1" l="1" a="1"/>
  <c r="L92" i="1" s="1"/>
  <c r="M92" i="1" a="1"/>
  <c r="M92" i="1" s="1"/>
  <c r="A93" i="1"/>
  <c r="F92" i="1" a="1"/>
  <c r="F92" i="1" s="1"/>
  <c r="B92" i="1" a="1"/>
  <c r="B92" i="1" s="1"/>
  <c r="C92" i="1" a="1"/>
  <c r="C92" i="1" s="1"/>
  <c r="D92" i="1" a="1"/>
  <c r="D92" i="1" s="1"/>
  <c r="E92" i="1" a="1"/>
  <c r="E92" i="1" s="1"/>
  <c r="I92" i="1" a="1"/>
  <c r="I92" i="1" s="1"/>
  <c r="J92" i="1" a="1"/>
  <c r="J92" i="1" s="1"/>
  <c r="K92" i="1"/>
  <c r="L93" i="1" l="1" a="1"/>
  <c r="L93" i="1" s="1"/>
  <c r="M93" i="1" a="1"/>
  <c r="M93" i="1" s="1"/>
  <c r="A94" i="1"/>
  <c r="J93" i="1" a="1"/>
  <c r="J93" i="1" s="1"/>
  <c r="D93" i="1" a="1"/>
  <c r="D93" i="1" s="1"/>
  <c r="B93" i="1" a="1"/>
  <c r="B93" i="1" s="1"/>
  <c r="E93" i="1" a="1"/>
  <c r="E93" i="1" s="1"/>
  <c r="K93" i="1"/>
  <c r="F93" i="1" a="1"/>
  <c r="F93" i="1" s="1"/>
  <c r="I93" i="1" a="1"/>
  <c r="I93" i="1" s="1"/>
  <c r="C93" i="1" a="1"/>
  <c r="C93" i="1" s="1"/>
  <c r="M94" i="1" l="1" a="1"/>
  <c r="M94" i="1" s="1"/>
  <c r="L94" i="1" a="1"/>
  <c r="L94" i="1" s="1"/>
  <c r="A95" i="1"/>
  <c r="J94" i="1" a="1"/>
  <c r="J94" i="1" s="1"/>
  <c r="F94" i="1" a="1"/>
  <c r="F94" i="1" s="1"/>
  <c r="B94" i="1" a="1"/>
  <c r="B94" i="1" s="1"/>
  <c r="C94" i="1" a="1"/>
  <c r="C94" i="1" s="1"/>
  <c r="E94" i="1" a="1"/>
  <c r="E94" i="1" s="1"/>
  <c r="D94" i="1" a="1"/>
  <c r="D94" i="1" s="1"/>
  <c r="I94" i="1" a="1"/>
  <c r="I94" i="1" s="1"/>
  <c r="K94" i="1"/>
  <c r="L95" i="1" l="1" a="1"/>
  <c r="L95" i="1" s="1"/>
  <c r="M95" i="1" a="1"/>
  <c r="M95" i="1" s="1"/>
  <c r="A96" i="1"/>
  <c r="K95" i="1"/>
  <c r="C95" i="1" a="1"/>
  <c r="C95" i="1" s="1"/>
  <c r="F95" i="1" a="1"/>
  <c r="F95" i="1" s="1"/>
  <c r="I95" i="1" a="1"/>
  <c r="I95" i="1" s="1"/>
  <c r="B95" i="1" a="1"/>
  <c r="B95" i="1" s="1"/>
  <c r="D95" i="1" a="1"/>
  <c r="D95" i="1" s="1"/>
  <c r="E95" i="1" a="1"/>
  <c r="E95" i="1" s="1"/>
  <c r="J95" i="1" a="1"/>
  <c r="J95" i="1" s="1"/>
  <c r="M96" i="1" l="1" a="1"/>
  <c r="M96" i="1" s="1"/>
  <c r="L96" i="1" a="1"/>
  <c r="L96" i="1" s="1"/>
  <c r="A97" i="1"/>
  <c r="B96" i="1" a="1"/>
  <c r="B96" i="1" s="1"/>
  <c r="E96" i="1" a="1"/>
  <c r="E96" i="1" s="1"/>
  <c r="C96" i="1" a="1"/>
  <c r="C96" i="1" s="1"/>
  <c r="F96" i="1" a="1"/>
  <c r="F96" i="1" s="1"/>
  <c r="D96" i="1" a="1"/>
  <c r="D96" i="1" s="1"/>
  <c r="J96" i="1" a="1"/>
  <c r="J96" i="1" s="1"/>
  <c r="K96" i="1"/>
  <c r="I96" i="1" a="1"/>
  <c r="I96" i="1" s="1"/>
  <c r="L97" i="1" l="1" a="1"/>
  <c r="L97" i="1" s="1"/>
  <c r="M97" i="1" a="1"/>
  <c r="M97" i="1" s="1"/>
  <c r="A98" i="1"/>
  <c r="C97" i="1" a="1"/>
  <c r="C97" i="1" s="1"/>
  <c r="I97" i="1" a="1"/>
  <c r="I97" i="1" s="1"/>
  <c r="F97" i="1" a="1"/>
  <c r="F97" i="1" s="1"/>
  <c r="K97" i="1"/>
  <c r="E97" i="1" a="1"/>
  <c r="E97" i="1" s="1"/>
  <c r="J97" i="1" a="1"/>
  <c r="J97" i="1" s="1"/>
  <c r="B97" i="1" a="1"/>
  <c r="B97" i="1" s="1"/>
  <c r="D97" i="1" a="1"/>
  <c r="D97" i="1" s="1"/>
  <c r="L98" i="1" l="1" a="1"/>
  <c r="L98" i="1" s="1"/>
  <c r="M98" i="1" a="1"/>
  <c r="M98" i="1" s="1"/>
  <c r="A99" i="1"/>
  <c r="E98" i="1" a="1"/>
  <c r="E98" i="1" s="1"/>
  <c r="K98" i="1"/>
  <c r="J98" i="1" a="1"/>
  <c r="J98" i="1" s="1"/>
  <c r="B98" i="1" a="1"/>
  <c r="B98" i="1" s="1"/>
  <c r="C98" i="1" a="1"/>
  <c r="C98" i="1" s="1"/>
  <c r="D98" i="1" a="1"/>
  <c r="D98" i="1" s="1"/>
  <c r="I98" i="1" a="1"/>
  <c r="I98" i="1" s="1"/>
  <c r="F98" i="1" a="1"/>
  <c r="F98" i="1" s="1"/>
  <c r="L99" i="1" l="1" a="1"/>
  <c r="L99" i="1" s="1"/>
  <c r="M99" i="1" a="1"/>
  <c r="M99" i="1" s="1"/>
  <c r="A100" i="1"/>
  <c r="F99" i="1" a="1"/>
  <c r="F99" i="1" s="1"/>
  <c r="B99" i="1" a="1"/>
  <c r="B99" i="1" s="1"/>
  <c r="I99" i="1" a="1"/>
  <c r="I99" i="1" s="1"/>
  <c r="J99" i="1" a="1"/>
  <c r="J99" i="1" s="1"/>
  <c r="E99" i="1" a="1"/>
  <c r="E99" i="1" s="1"/>
  <c r="C99" i="1" a="1"/>
  <c r="C99" i="1" s="1"/>
  <c r="D99" i="1" a="1"/>
  <c r="D99" i="1" s="1"/>
  <c r="K99" i="1"/>
  <c r="M100" i="1" l="1" a="1"/>
  <c r="M100" i="1" s="1"/>
  <c r="L100" i="1" a="1"/>
  <c r="L100" i="1" s="1"/>
  <c r="A101" i="1"/>
  <c r="I100" i="1" a="1"/>
  <c r="I100" i="1" s="1"/>
  <c r="D100" i="1" a="1"/>
  <c r="D100" i="1" s="1"/>
  <c r="E100" i="1" a="1"/>
  <c r="E100" i="1" s="1"/>
  <c r="B100" i="1" a="1"/>
  <c r="B100" i="1" s="1"/>
  <c r="C100" i="1" a="1"/>
  <c r="C100" i="1" s="1"/>
  <c r="J100" i="1" a="1"/>
  <c r="J100" i="1" s="1"/>
  <c r="K100" i="1"/>
  <c r="F100" i="1" a="1"/>
  <c r="F100" i="1" s="1"/>
  <c r="M101" i="1" l="1" a="1"/>
  <c r="M101" i="1" s="1"/>
  <c r="L101" i="1" a="1"/>
  <c r="L101" i="1" s="1"/>
  <c r="A102" i="1"/>
  <c r="J101" i="1" a="1"/>
  <c r="J101" i="1" s="1"/>
  <c r="F101" i="1" a="1"/>
  <c r="F101" i="1" s="1"/>
  <c r="I101" i="1" a="1"/>
  <c r="I101" i="1" s="1"/>
  <c r="D101" i="1" a="1"/>
  <c r="D101" i="1" s="1"/>
  <c r="E101" i="1" a="1"/>
  <c r="E101" i="1" s="1"/>
  <c r="C101" i="1" a="1"/>
  <c r="C101" i="1" s="1"/>
  <c r="B101" i="1" a="1"/>
  <c r="B101" i="1" s="1"/>
  <c r="K101" i="1"/>
  <c r="M102" i="1" l="1" a="1"/>
  <c r="M102" i="1" s="1"/>
  <c r="L102" i="1" a="1"/>
  <c r="L102" i="1" s="1"/>
  <c r="A103" i="1"/>
  <c r="J102" i="1" a="1"/>
  <c r="J102" i="1" s="1"/>
  <c r="I102" i="1" a="1"/>
  <c r="I102" i="1" s="1"/>
  <c r="C102" i="1" a="1"/>
  <c r="C102" i="1" s="1"/>
  <c r="F102" i="1" a="1"/>
  <c r="F102" i="1" s="1"/>
  <c r="K102" i="1"/>
  <c r="D102" i="1" a="1"/>
  <c r="D102" i="1" s="1"/>
  <c r="E102" i="1" a="1"/>
  <c r="E102" i="1" s="1"/>
  <c r="B102" i="1" a="1"/>
  <c r="B102" i="1" s="1"/>
  <c r="L103" i="1" l="1" a="1"/>
  <c r="L103" i="1" s="1"/>
  <c r="M103" i="1" a="1"/>
  <c r="M103" i="1" s="1"/>
  <c r="A104" i="1"/>
  <c r="B103" i="1" a="1"/>
  <c r="B103" i="1" s="1"/>
  <c r="D103" i="1" a="1"/>
  <c r="D103" i="1" s="1"/>
  <c r="C103" i="1" a="1"/>
  <c r="C103" i="1" s="1"/>
  <c r="E103" i="1" a="1"/>
  <c r="E103" i="1" s="1"/>
  <c r="F103" i="1" a="1"/>
  <c r="F103" i="1" s="1"/>
  <c r="J103" i="1" a="1"/>
  <c r="J103" i="1" s="1"/>
  <c r="K103" i="1"/>
  <c r="I103" i="1" a="1"/>
  <c r="I103" i="1" s="1"/>
  <c r="L104" i="1" l="1" a="1"/>
  <c r="L104" i="1" s="1"/>
  <c r="M104" i="1" a="1"/>
  <c r="M104" i="1" s="1"/>
  <c r="A105" i="1"/>
  <c r="D104" i="1" a="1"/>
  <c r="D104" i="1" s="1"/>
  <c r="C104" i="1" a="1"/>
  <c r="C104" i="1" s="1"/>
  <c r="I104" i="1" a="1"/>
  <c r="I104" i="1" s="1"/>
  <c r="K104" i="1"/>
  <c r="F104" i="1" a="1"/>
  <c r="F104" i="1" s="1"/>
  <c r="J104" i="1" a="1"/>
  <c r="J104" i="1" s="1"/>
  <c r="B104" i="1" a="1"/>
  <c r="B104" i="1" s="1"/>
  <c r="E104" i="1" a="1"/>
  <c r="E104" i="1" s="1"/>
  <c r="M105" i="1" l="1" a="1"/>
  <c r="M105" i="1" s="1"/>
  <c r="L105" i="1" a="1"/>
  <c r="L105" i="1" s="1"/>
  <c r="A106" i="1"/>
  <c r="E105" i="1" a="1"/>
  <c r="E105" i="1" s="1"/>
  <c r="F105" i="1" a="1"/>
  <c r="F105" i="1" s="1"/>
  <c r="B105" i="1" a="1"/>
  <c r="B105" i="1" s="1"/>
  <c r="C105" i="1" a="1"/>
  <c r="C105" i="1" s="1"/>
  <c r="D105" i="1" a="1"/>
  <c r="D105" i="1" s="1"/>
  <c r="I105" i="1" a="1"/>
  <c r="I105" i="1" s="1"/>
  <c r="J105" i="1" a="1"/>
  <c r="J105" i="1" s="1"/>
  <c r="K105" i="1"/>
  <c r="M106" i="1" l="1" a="1"/>
  <c r="M106" i="1" s="1"/>
  <c r="L106" i="1" a="1"/>
  <c r="L106" i="1" s="1"/>
  <c r="A107" i="1"/>
  <c r="I106" i="1" a="1"/>
  <c r="I106" i="1" s="1"/>
  <c r="B106" i="1" a="1"/>
  <c r="B106" i="1" s="1"/>
  <c r="C106" i="1" a="1"/>
  <c r="C106" i="1" s="1"/>
  <c r="D106" i="1" a="1"/>
  <c r="D106" i="1" s="1"/>
  <c r="E106" i="1" a="1"/>
  <c r="E106" i="1" s="1"/>
  <c r="K106" i="1"/>
  <c r="F106" i="1" a="1"/>
  <c r="F106" i="1" s="1"/>
  <c r="J106" i="1" a="1"/>
  <c r="J106" i="1" s="1"/>
  <c r="L107" i="1" l="1" a="1"/>
  <c r="L107" i="1" s="1"/>
  <c r="M107" i="1" a="1"/>
  <c r="M107" i="1" s="1"/>
  <c r="A108" i="1"/>
  <c r="I107" i="1" a="1"/>
  <c r="I107" i="1" s="1"/>
  <c r="E107" i="1" a="1"/>
  <c r="E107" i="1" s="1"/>
  <c r="F107" i="1" a="1"/>
  <c r="F107" i="1" s="1"/>
  <c r="J107" i="1" a="1"/>
  <c r="J107" i="1" s="1"/>
  <c r="B107" i="1" a="1"/>
  <c r="B107" i="1" s="1"/>
  <c r="C107" i="1" a="1"/>
  <c r="C107" i="1" s="1"/>
  <c r="D107" i="1" a="1"/>
  <c r="D107" i="1" s="1"/>
  <c r="K107" i="1"/>
  <c r="L108" i="1" l="1" a="1"/>
  <c r="L108" i="1" s="1"/>
  <c r="M108" i="1" a="1"/>
  <c r="M108" i="1" s="1"/>
  <c r="A109" i="1"/>
  <c r="K108" i="1"/>
  <c r="B108" i="1" a="1"/>
  <c r="B108" i="1" s="1"/>
  <c r="J108" i="1" a="1"/>
  <c r="J108" i="1" s="1"/>
  <c r="C108" i="1" a="1"/>
  <c r="C108" i="1" s="1"/>
  <c r="I108" i="1" a="1"/>
  <c r="I108" i="1" s="1"/>
  <c r="E108" i="1" a="1"/>
  <c r="E108" i="1" s="1"/>
  <c r="F108" i="1" a="1"/>
  <c r="F108" i="1" s="1"/>
  <c r="D108" i="1" a="1"/>
  <c r="D108" i="1" s="1"/>
  <c r="M109" i="1" l="1" a="1"/>
  <c r="M109" i="1" s="1"/>
  <c r="L109" i="1" a="1"/>
  <c r="L109" i="1" s="1"/>
  <c r="A110" i="1"/>
  <c r="E109" i="1" a="1"/>
  <c r="E109" i="1" s="1"/>
  <c r="B109" i="1" a="1"/>
  <c r="B109" i="1" s="1"/>
  <c r="I109" i="1" a="1"/>
  <c r="I109" i="1" s="1"/>
  <c r="C109" i="1" a="1"/>
  <c r="C109" i="1" s="1"/>
  <c r="D109" i="1" a="1"/>
  <c r="D109" i="1" s="1"/>
  <c r="F109" i="1" a="1"/>
  <c r="F109" i="1" s="1"/>
  <c r="J109" i="1" a="1"/>
  <c r="J109" i="1" s="1"/>
  <c r="K109" i="1"/>
  <c r="L110" i="1" l="1" a="1"/>
  <c r="L110" i="1" s="1"/>
  <c r="M110" i="1" a="1"/>
  <c r="M110" i="1" s="1"/>
  <c r="A111" i="1"/>
  <c r="D110" i="1" a="1"/>
  <c r="D110" i="1" s="1"/>
  <c r="E110" i="1" a="1"/>
  <c r="E110" i="1" s="1"/>
  <c r="I110" i="1" a="1"/>
  <c r="I110" i="1" s="1"/>
  <c r="J110" i="1" a="1"/>
  <c r="J110" i="1" s="1"/>
  <c r="K110" i="1"/>
  <c r="B110" i="1" a="1"/>
  <c r="B110" i="1" s="1"/>
  <c r="C110" i="1" a="1"/>
  <c r="C110" i="1" s="1"/>
  <c r="F110" i="1" a="1"/>
  <c r="F110" i="1" s="1"/>
  <c r="L111" i="1" l="1" a="1"/>
  <c r="L111" i="1" s="1"/>
  <c r="M111" i="1" a="1"/>
  <c r="M111" i="1" s="1"/>
  <c r="A112" i="1"/>
  <c r="D111" i="1" a="1"/>
  <c r="D111" i="1" s="1"/>
  <c r="J111" i="1" a="1"/>
  <c r="J111" i="1" s="1"/>
  <c r="B111" i="1" a="1"/>
  <c r="B111" i="1" s="1"/>
  <c r="E111" i="1" a="1"/>
  <c r="E111" i="1" s="1"/>
  <c r="F111" i="1" a="1"/>
  <c r="F111" i="1" s="1"/>
  <c r="K111" i="1"/>
  <c r="C111" i="1" a="1"/>
  <c r="C111" i="1" s="1"/>
  <c r="I111" i="1" a="1"/>
  <c r="I111" i="1" s="1"/>
  <c r="M112" i="1" l="1" a="1"/>
  <c r="M112" i="1" s="1"/>
  <c r="L112" i="1" a="1"/>
  <c r="L112" i="1" s="1"/>
  <c r="A113" i="1"/>
  <c r="K112" i="1"/>
  <c r="F112" i="1" a="1"/>
  <c r="F112" i="1" s="1"/>
  <c r="D112" i="1" a="1"/>
  <c r="D112" i="1" s="1"/>
  <c r="E112" i="1" a="1"/>
  <c r="E112" i="1" s="1"/>
  <c r="I112" i="1" a="1"/>
  <c r="I112" i="1" s="1"/>
  <c r="B112" i="1" a="1"/>
  <c r="B112" i="1" s="1"/>
  <c r="C112" i="1" a="1"/>
  <c r="C112" i="1" s="1"/>
  <c r="J112" i="1" a="1"/>
  <c r="J112" i="1" s="1"/>
  <c r="L113" i="1" l="1" a="1"/>
  <c r="L113" i="1" s="1"/>
  <c r="M113" i="1" a="1"/>
  <c r="M113" i="1" s="1"/>
  <c r="A114" i="1"/>
  <c r="B113" i="1" a="1"/>
  <c r="B113" i="1" s="1"/>
  <c r="C113" i="1" a="1"/>
  <c r="C113" i="1" s="1"/>
  <c r="K113" i="1"/>
  <c r="D113" i="1" a="1"/>
  <c r="D113" i="1" s="1"/>
  <c r="I113" i="1" a="1"/>
  <c r="I113" i="1" s="1"/>
  <c r="J113" i="1" a="1"/>
  <c r="J113" i="1" s="1"/>
  <c r="E113" i="1" a="1"/>
  <c r="E113" i="1" s="1"/>
  <c r="F113" i="1" a="1"/>
  <c r="F113" i="1" s="1"/>
  <c r="L114" i="1" l="1" a="1"/>
  <c r="L114" i="1" s="1"/>
  <c r="M114" i="1" a="1"/>
  <c r="M114" i="1" s="1"/>
  <c r="A115" i="1"/>
  <c r="D114" i="1" a="1"/>
  <c r="D114" i="1" s="1"/>
  <c r="E114" i="1" a="1"/>
  <c r="E114" i="1" s="1"/>
  <c r="B114" i="1" a="1"/>
  <c r="B114" i="1" s="1"/>
  <c r="C114" i="1" a="1"/>
  <c r="C114" i="1" s="1"/>
  <c r="F114" i="1" a="1"/>
  <c r="F114" i="1" s="1"/>
  <c r="K114" i="1"/>
  <c r="I114" i="1" a="1"/>
  <c r="I114" i="1" s="1"/>
  <c r="J114" i="1" a="1"/>
  <c r="J114" i="1" s="1"/>
  <c r="L115" i="1" l="1" a="1"/>
  <c r="L115" i="1" s="1"/>
  <c r="M115" i="1" a="1"/>
  <c r="M115" i="1" s="1"/>
  <c r="A116" i="1"/>
  <c r="F115" i="1" a="1"/>
  <c r="F115" i="1" s="1"/>
  <c r="I115" i="1" a="1"/>
  <c r="I115" i="1" s="1"/>
  <c r="J115" i="1" a="1"/>
  <c r="J115" i="1" s="1"/>
  <c r="K115" i="1"/>
  <c r="B115" i="1" a="1"/>
  <c r="B115" i="1" s="1"/>
  <c r="D115" i="1" a="1"/>
  <c r="D115" i="1" s="1"/>
  <c r="E115" i="1" a="1"/>
  <c r="E115" i="1" s="1"/>
  <c r="C115" i="1" a="1"/>
  <c r="C115" i="1" s="1"/>
  <c r="L116" i="1" l="1" a="1"/>
  <c r="L116" i="1" s="1"/>
  <c r="M116" i="1" a="1"/>
  <c r="M116" i="1" s="1"/>
  <c r="A117" i="1"/>
  <c r="J116" i="1" a="1"/>
  <c r="J116" i="1" s="1"/>
  <c r="K116" i="1"/>
  <c r="B116" i="1" a="1"/>
  <c r="B116" i="1" s="1"/>
  <c r="C116" i="1" a="1"/>
  <c r="C116" i="1" s="1"/>
  <c r="E116" i="1" a="1"/>
  <c r="E116" i="1" s="1"/>
  <c r="F116" i="1" a="1"/>
  <c r="F116" i="1" s="1"/>
  <c r="I116" i="1" a="1"/>
  <c r="I116" i="1" s="1"/>
  <c r="D116" i="1" a="1"/>
  <c r="D116" i="1" s="1"/>
  <c r="L117" i="1" l="1" a="1"/>
  <c r="L117" i="1" s="1"/>
  <c r="M117" i="1" a="1"/>
  <c r="M117" i="1" s="1"/>
  <c r="A118" i="1"/>
  <c r="J117" i="1" a="1"/>
  <c r="J117" i="1" s="1"/>
  <c r="C117" i="1" a="1"/>
  <c r="C117" i="1" s="1"/>
  <c r="D117" i="1" a="1"/>
  <c r="D117" i="1" s="1"/>
  <c r="F117" i="1" a="1"/>
  <c r="F117" i="1" s="1"/>
  <c r="I117" i="1" a="1"/>
  <c r="I117" i="1" s="1"/>
  <c r="B117" i="1" a="1"/>
  <c r="B117" i="1" s="1"/>
  <c r="E117" i="1" a="1"/>
  <c r="E117" i="1" s="1"/>
  <c r="K117" i="1"/>
  <c r="L118" i="1" l="1" a="1"/>
  <c r="L118" i="1" s="1"/>
  <c r="M118" i="1" a="1"/>
  <c r="M118" i="1" s="1"/>
  <c r="A119" i="1"/>
  <c r="K118" i="1"/>
  <c r="C118" i="1" a="1"/>
  <c r="C118" i="1" s="1"/>
  <c r="D118" i="1" a="1"/>
  <c r="D118" i="1" s="1"/>
  <c r="F118" i="1" a="1"/>
  <c r="F118" i="1" s="1"/>
  <c r="B118" i="1" a="1"/>
  <c r="B118" i="1" s="1"/>
  <c r="I118" i="1" a="1"/>
  <c r="I118" i="1" s="1"/>
  <c r="J118" i="1" a="1"/>
  <c r="J118" i="1" s="1"/>
  <c r="E118" i="1" a="1"/>
  <c r="E118" i="1" s="1"/>
  <c r="M119" i="1" l="1" a="1"/>
  <c r="M119" i="1" s="1"/>
  <c r="L119" i="1" a="1"/>
  <c r="L119" i="1" s="1"/>
  <c r="A120" i="1"/>
  <c r="B119" i="1" a="1"/>
  <c r="B119" i="1" s="1"/>
  <c r="K119" i="1"/>
  <c r="C119" i="1" a="1"/>
  <c r="C119" i="1" s="1"/>
  <c r="D119" i="1" a="1"/>
  <c r="D119" i="1" s="1"/>
  <c r="E119" i="1" a="1"/>
  <c r="E119" i="1" s="1"/>
  <c r="I119" i="1" a="1"/>
  <c r="I119" i="1" s="1"/>
  <c r="J119" i="1" a="1"/>
  <c r="J119" i="1" s="1"/>
  <c r="F119" i="1" a="1"/>
  <c r="F119" i="1" s="1"/>
  <c r="M120" i="1" l="1" a="1"/>
  <c r="M120" i="1" s="1"/>
  <c r="L120" i="1" a="1"/>
  <c r="L120" i="1" s="1"/>
  <c r="A121" i="1"/>
  <c r="C120" i="1" a="1"/>
  <c r="C120" i="1" s="1"/>
  <c r="I120" i="1" a="1"/>
  <c r="I120" i="1" s="1"/>
  <c r="J120" i="1" a="1"/>
  <c r="J120" i="1" s="1"/>
  <c r="K120" i="1"/>
  <c r="E120" i="1" a="1"/>
  <c r="E120" i="1" s="1"/>
  <c r="F120" i="1" a="1"/>
  <c r="F120" i="1" s="1"/>
  <c r="B120" i="1" a="1"/>
  <c r="B120" i="1" s="1"/>
  <c r="D120" i="1" a="1"/>
  <c r="D120" i="1" s="1"/>
  <c r="M121" i="1" l="1" a="1"/>
  <c r="M121" i="1" s="1"/>
  <c r="L121" i="1" a="1"/>
  <c r="L121" i="1" s="1"/>
  <c r="A122" i="1"/>
  <c r="E121" i="1" a="1"/>
  <c r="E121" i="1" s="1"/>
  <c r="F121" i="1" a="1"/>
  <c r="F121" i="1" s="1"/>
  <c r="B121" i="1" a="1"/>
  <c r="B121" i="1" s="1"/>
  <c r="D121" i="1" a="1"/>
  <c r="D121" i="1" s="1"/>
  <c r="J121" i="1" a="1"/>
  <c r="J121" i="1" s="1"/>
  <c r="K121" i="1"/>
  <c r="C121" i="1" a="1"/>
  <c r="C121" i="1" s="1"/>
  <c r="I121" i="1" a="1"/>
  <c r="I121" i="1" s="1"/>
  <c r="L122" i="1" l="1" a="1"/>
  <c r="L122" i="1" s="1"/>
  <c r="M122" i="1" a="1"/>
  <c r="M122" i="1" s="1"/>
  <c r="A123" i="1"/>
  <c r="F122" i="1" a="1"/>
  <c r="F122" i="1" s="1"/>
  <c r="B122" i="1" a="1"/>
  <c r="B122" i="1" s="1"/>
  <c r="C122" i="1" a="1"/>
  <c r="C122" i="1" s="1"/>
  <c r="J122" i="1" a="1"/>
  <c r="J122" i="1" s="1"/>
  <c r="E122" i="1" a="1"/>
  <c r="E122" i="1" s="1"/>
  <c r="I122" i="1" a="1"/>
  <c r="I122" i="1" s="1"/>
  <c r="D122" i="1" a="1"/>
  <c r="D122" i="1" s="1"/>
  <c r="K122" i="1"/>
  <c r="L123" i="1" l="1" a="1"/>
  <c r="L123" i="1" s="1"/>
  <c r="M123" i="1" a="1"/>
  <c r="M123" i="1" s="1"/>
  <c r="A124" i="1"/>
  <c r="I123" i="1" a="1"/>
  <c r="I123" i="1" s="1"/>
  <c r="B123" i="1" a="1"/>
  <c r="B123" i="1" s="1"/>
  <c r="K123" i="1"/>
  <c r="C123" i="1" a="1"/>
  <c r="C123" i="1" s="1"/>
  <c r="J123" i="1" a="1"/>
  <c r="J123" i="1" s="1"/>
  <c r="D123" i="1" a="1"/>
  <c r="D123" i="1" s="1"/>
  <c r="E123" i="1" a="1"/>
  <c r="E123" i="1" s="1"/>
  <c r="F123" i="1" a="1"/>
  <c r="F123" i="1" s="1"/>
  <c r="M124" i="1" l="1" a="1"/>
  <c r="M124" i="1" s="1"/>
  <c r="L124" i="1" a="1"/>
  <c r="L124" i="1" s="1"/>
  <c r="A125" i="1"/>
  <c r="J124" i="1" a="1"/>
  <c r="J124" i="1" s="1"/>
  <c r="D124" i="1" a="1"/>
  <c r="D124" i="1" s="1"/>
  <c r="E124" i="1" a="1"/>
  <c r="E124" i="1" s="1"/>
  <c r="B124" i="1" a="1"/>
  <c r="B124" i="1" s="1"/>
  <c r="C124" i="1" a="1"/>
  <c r="C124" i="1" s="1"/>
  <c r="I124" i="1" a="1"/>
  <c r="I124" i="1" s="1"/>
  <c r="F124" i="1" a="1"/>
  <c r="F124" i="1" s="1"/>
  <c r="K124" i="1"/>
  <c r="M125" i="1" l="1" a="1"/>
  <c r="M125" i="1" s="1"/>
  <c r="L125" i="1" a="1"/>
  <c r="L125" i="1" s="1"/>
  <c r="A126" i="1"/>
  <c r="F125" i="1" a="1"/>
  <c r="F125" i="1" s="1"/>
  <c r="I125" i="1" a="1"/>
  <c r="I125" i="1" s="1"/>
  <c r="J125" i="1" a="1"/>
  <c r="J125" i="1" s="1"/>
  <c r="K125" i="1"/>
  <c r="C125" i="1" a="1"/>
  <c r="C125" i="1" s="1"/>
  <c r="D125" i="1" a="1"/>
  <c r="D125" i="1" s="1"/>
  <c r="E125" i="1" a="1"/>
  <c r="E125" i="1" s="1"/>
  <c r="B125" i="1" a="1"/>
  <c r="B125" i="1" s="1"/>
  <c r="M126" i="1" l="1" a="1"/>
  <c r="M126" i="1" s="1"/>
  <c r="L126" i="1" a="1"/>
  <c r="L126" i="1" s="1"/>
  <c r="A127" i="1"/>
  <c r="B126" i="1" a="1"/>
  <c r="B126" i="1" s="1"/>
  <c r="J126" i="1" a="1"/>
  <c r="J126" i="1" s="1"/>
  <c r="D126" i="1" a="1"/>
  <c r="D126" i="1" s="1"/>
  <c r="I126" i="1" a="1"/>
  <c r="I126" i="1" s="1"/>
  <c r="K126" i="1"/>
  <c r="C126" i="1" a="1"/>
  <c r="C126" i="1" s="1"/>
  <c r="E126" i="1" a="1"/>
  <c r="E126" i="1" s="1"/>
  <c r="F126" i="1" a="1"/>
  <c r="F126" i="1" s="1"/>
  <c r="L127" i="1" l="1" a="1"/>
  <c r="L127" i="1" s="1"/>
  <c r="M127" i="1" a="1"/>
  <c r="M127" i="1" s="1"/>
  <c r="A128" i="1"/>
  <c r="B127" i="1" a="1"/>
  <c r="B127" i="1" s="1"/>
  <c r="C127" i="1" a="1"/>
  <c r="C127" i="1" s="1"/>
  <c r="D127" i="1" a="1"/>
  <c r="D127" i="1" s="1"/>
  <c r="E127" i="1" a="1"/>
  <c r="E127" i="1" s="1"/>
  <c r="F127" i="1" a="1"/>
  <c r="F127" i="1" s="1"/>
  <c r="I127" i="1" a="1"/>
  <c r="I127" i="1" s="1"/>
  <c r="J127" i="1" a="1"/>
  <c r="J127" i="1" s="1"/>
  <c r="K127" i="1"/>
  <c r="L128" i="1" l="1" a="1"/>
  <c r="L128" i="1" s="1"/>
  <c r="M128" i="1" a="1"/>
  <c r="M128" i="1" s="1"/>
  <c r="A129" i="1"/>
  <c r="E128" i="1" a="1"/>
  <c r="E128" i="1" s="1"/>
  <c r="D128" i="1" a="1"/>
  <c r="D128" i="1" s="1"/>
  <c r="J128" i="1" a="1"/>
  <c r="J128" i="1" s="1"/>
  <c r="K128" i="1"/>
  <c r="C128" i="1" a="1"/>
  <c r="C128" i="1" s="1"/>
  <c r="F128" i="1" a="1"/>
  <c r="F128" i="1" s="1"/>
  <c r="I128" i="1" a="1"/>
  <c r="I128" i="1" s="1"/>
  <c r="B128" i="1" a="1"/>
  <c r="B128" i="1" s="1"/>
  <c r="L129" i="1" l="1" a="1"/>
  <c r="L129" i="1" s="1"/>
  <c r="M129" i="1" a="1"/>
  <c r="M129" i="1" s="1"/>
  <c r="A130" i="1"/>
  <c r="F129" i="1" a="1"/>
  <c r="F129" i="1" s="1"/>
  <c r="I129" i="1" a="1"/>
  <c r="I129" i="1" s="1"/>
  <c r="J129" i="1" a="1"/>
  <c r="J129" i="1" s="1"/>
  <c r="B129" i="1" a="1"/>
  <c r="B129" i="1" s="1"/>
  <c r="D129" i="1" a="1"/>
  <c r="D129" i="1" s="1"/>
  <c r="E129" i="1" a="1"/>
  <c r="E129" i="1" s="1"/>
  <c r="K129" i="1"/>
  <c r="C129" i="1" a="1"/>
  <c r="C129" i="1" s="1"/>
  <c r="M130" i="1" l="1" a="1"/>
  <c r="M130" i="1" s="1"/>
  <c r="L130" i="1" a="1"/>
  <c r="L130" i="1" s="1"/>
  <c r="A131" i="1"/>
  <c r="I130" i="1" a="1"/>
  <c r="I130" i="1" s="1"/>
  <c r="D130" i="1" a="1"/>
  <c r="D130" i="1" s="1"/>
  <c r="E130" i="1" a="1"/>
  <c r="E130" i="1" s="1"/>
  <c r="F130" i="1" a="1"/>
  <c r="F130" i="1" s="1"/>
  <c r="J130" i="1" a="1"/>
  <c r="J130" i="1" s="1"/>
  <c r="K130" i="1"/>
  <c r="B130" i="1" a="1"/>
  <c r="B130" i="1" s="1"/>
  <c r="C130" i="1" a="1"/>
  <c r="C130" i="1" s="1"/>
  <c r="M131" i="1" l="1" a="1"/>
  <c r="M131" i="1" s="1"/>
  <c r="L131" i="1" a="1"/>
  <c r="L131" i="1" s="1"/>
  <c r="A132" i="1"/>
  <c r="K131" i="1"/>
  <c r="B131" i="1" a="1"/>
  <c r="B131" i="1" s="1"/>
  <c r="I131" i="1" a="1"/>
  <c r="I131" i="1" s="1"/>
  <c r="J131" i="1" a="1"/>
  <c r="J131" i="1" s="1"/>
  <c r="E131" i="1" a="1"/>
  <c r="E131" i="1" s="1"/>
  <c r="F131" i="1" a="1"/>
  <c r="F131" i="1" s="1"/>
  <c r="C131" i="1" a="1"/>
  <c r="C131" i="1" s="1"/>
  <c r="D131" i="1" a="1"/>
  <c r="D131" i="1" s="1"/>
  <c r="M132" i="1" l="1" a="1"/>
  <c r="M132" i="1" s="1"/>
  <c r="L132" i="1" a="1"/>
  <c r="L132" i="1" s="1"/>
  <c r="A133" i="1"/>
  <c r="E132" i="1" a="1"/>
  <c r="E132" i="1" s="1"/>
  <c r="F132" i="1" a="1"/>
  <c r="F132" i="1" s="1"/>
  <c r="B132" i="1" a="1"/>
  <c r="B132" i="1" s="1"/>
  <c r="C132" i="1" a="1"/>
  <c r="C132" i="1" s="1"/>
  <c r="J132" i="1" a="1"/>
  <c r="J132" i="1" s="1"/>
  <c r="K132" i="1"/>
  <c r="D132" i="1" a="1"/>
  <c r="D132" i="1" s="1"/>
  <c r="I132" i="1" a="1"/>
  <c r="I132" i="1" s="1"/>
  <c r="L133" i="1" l="1" a="1"/>
  <c r="L133" i="1" s="1"/>
  <c r="M133" i="1" a="1"/>
  <c r="M133" i="1" s="1"/>
  <c r="A134" i="1"/>
  <c r="C133" i="1" a="1"/>
  <c r="C133" i="1" s="1"/>
  <c r="D133" i="1" a="1"/>
  <c r="D133" i="1" s="1"/>
  <c r="E133" i="1" a="1"/>
  <c r="E133" i="1" s="1"/>
  <c r="F133" i="1" a="1"/>
  <c r="F133" i="1" s="1"/>
  <c r="J133" i="1" a="1"/>
  <c r="J133" i="1" s="1"/>
  <c r="K133" i="1"/>
  <c r="B133" i="1" a="1"/>
  <c r="B133" i="1" s="1"/>
  <c r="I133" i="1" a="1"/>
  <c r="I133" i="1" s="1"/>
  <c r="M134" i="1" l="1" a="1"/>
  <c r="M134" i="1" s="1"/>
  <c r="L134" i="1" a="1"/>
  <c r="L134" i="1" s="1"/>
  <c r="A135" i="1"/>
  <c r="K134" i="1"/>
  <c r="I134" i="1" a="1"/>
  <c r="I134" i="1" s="1"/>
  <c r="J134" i="1" a="1"/>
  <c r="J134" i="1" s="1"/>
  <c r="D134" i="1" a="1"/>
  <c r="D134" i="1" s="1"/>
  <c r="E134" i="1" a="1"/>
  <c r="E134" i="1" s="1"/>
  <c r="F134" i="1" a="1"/>
  <c r="F134" i="1" s="1"/>
  <c r="B134" i="1" a="1"/>
  <c r="B134" i="1" s="1"/>
  <c r="C134" i="1" a="1"/>
  <c r="C134" i="1" s="1"/>
  <c r="L135" i="1" l="1" a="1"/>
  <c r="L135" i="1" s="1"/>
  <c r="M135" i="1" a="1"/>
  <c r="M135" i="1" s="1"/>
  <c r="A136" i="1"/>
  <c r="F135" i="1" a="1"/>
  <c r="F135" i="1" s="1"/>
  <c r="B135" i="1" a="1"/>
  <c r="B135" i="1" s="1"/>
  <c r="C135" i="1" a="1"/>
  <c r="C135" i="1" s="1"/>
  <c r="E135" i="1" a="1"/>
  <c r="E135" i="1" s="1"/>
  <c r="I135" i="1" a="1"/>
  <c r="I135" i="1" s="1"/>
  <c r="J135" i="1" a="1"/>
  <c r="J135" i="1" s="1"/>
  <c r="K135" i="1"/>
  <c r="D135" i="1" a="1"/>
  <c r="D135" i="1" s="1"/>
  <c r="M136" i="1" l="1" a="1"/>
  <c r="M136" i="1" s="1"/>
  <c r="L136" i="1" a="1"/>
  <c r="L136" i="1" s="1"/>
  <c r="A137" i="1"/>
  <c r="C136" i="1" a="1"/>
  <c r="C136" i="1" s="1"/>
  <c r="D136" i="1" a="1"/>
  <c r="D136" i="1" s="1"/>
  <c r="E136" i="1" a="1"/>
  <c r="E136" i="1" s="1"/>
  <c r="F136" i="1" a="1"/>
  <c r="F136" i="1" s="1"/>
  <c r="I136" i="1" a="1"/>
  <c r="I136" i="1" s="1"/>
  <c r="J136" i="1" a="1"/>
  <c r="J136" i="1" s="1"/>
  <c r="B136" i="1" a="1"/>
  <c r="B136" i="1" s="1"/>
  <c r="K136" i="1"/>
  <c r="M137" i="1" l="1" a="1"/>
  <c r="M137" i="1" s="1"/>
  <c r="L137" i="1" a="1"/>
  <c r="L137" i="1" s="1"/>
  <c r="A138" i="1"/>
  <c r="J137" i="1" a="1"/>
  <c r="J137" i="1" s="1"/>
  <c r="K137" i="1"/>
  <c r="E137" i="1" a="1"/>
  <c r="E137" i="1" s="1"/>
  <c r="I137" i="1" a="1"/>
  <c r="I137" i="1" s="1"/>
  <c r="C137" i="1" a="1"/>
  <c r="C137" i="1" s="1"/>
  <c r="D137" i="1" a="1"/>
  <c r="D137" i="1" s="1"/>
  <c r="F137" i="1" a="1"/>
  <c r="F137" i="1" s="1"/>
  <c r="B137" i="1" a="1"/>
  <c r="B137" i="1" s="1"/>
  <c r="L138" i="1" l="1" a="1"/>
  <c r="L138" i="1" s="1"/>
  <c r="M138" i="1" a="1"/>
  <c r="M138" i="1" s="1"/>
  <c r="A139" i="1"/>
  <c r="I138" i="1" a="1"/>
  <c r="I138" i="1" s="1"/>
  <c r="J138" i="1" a="1"/>
  <c r="J138" i="1" s="1"/>
  <c r="B138" i="1" a="1"/>
  <c r="B138" i="1" s="1"/>
  <c r="D138" i="1" a="1"/>
  <c r="D138" i="1" s="1"/>
  <c r="E138" i="1" a="1"/>
  <c r="E138" i="1" s="1"/>
  <c r="K138" i="1"/>
  <c r="C138" i="1" a="1"/>
  <c r="C138" i="1" s="1"/>
  <c r="F138" i="1" a="1"/>
  <c r="F138" i="1" s="1"/>
  <c r="L139" i="1" l="1" a="1"/>
  <c r="L139" i="1" s="1"/>
  <c r="M139" i="1" a="1"/>
  <c r="M139" i="1" s="1"/>
  <c r="A140" i="1"/>
  <c r="B139" i="1" a="1"/>
  <c r="B139" i="1" s="1"/>
  <c r="C139" i="1" a="1"/>
  <c r="C139" i="1" s="1"/>
  <c r="K139" i="1"/>
  <c r="D139" i="1" a="1"/>
  <c r="D139" i="1" s="1"/>
  <c r="E139" i="1" a="1"/>
  <c r="E139" i="1" s="1"/>
  <c r="F139" i="1" a="1"/>
  <c r="F139" i="1" s="1"/>
  <c r="I139" i="1" a="1"/>
  <c r="I139" i="1" s="1"/>
  <c r="J139" i="1" a="1"/>
  <c r="J139" i="1" s="1"/>
  <c r="M140" i="1" l="1" a="1"/>
  <c r="M140" i="1" s="1"/>
  <c r="L140" i="1" a="1"/>
  <c r="L140" i="1" s="1"/>
  <c r="A141" i="1"/>
  <c r="B140" i="1" a="1"/>
  <c r="B140" i="1" s="1"/>
  <c r="C140" i="1" a="1"/>
  <c r="C140" i="1" s="1"/>
  <c r="I140" i="1" a="1"/>
  <c r="I140" i="1" s="1"/>
  <c r="J140" i="1" a="1"/>
  <c r="J140" i="1" s="1"/>
  <c r="K140" i="1"/>
  <c r="D140" i="1" a="1"/>
  <c r="D140" i="1" s="1"/>
  <c r="E140" i="1" a="1"/>
  <c r="E140" i="1" s="1"/>
  <c r="F140" i="1" a="1"/>
  <c r="F140" i="1" s="1"/>
  <c r="L141" i="1" l="1" a="1"/>
  <c r="L141" i="1" s="1"/>
  <c r="M141" i="1" a="1"/>
  <c r="M141" i="1" s="1"/>
  <c r="A142" i="1"/>
  <c r="E141" i="1" a="1"/>
  <c r="E141" i="1" s="1"/>
  <c r="F141" i="1" a="1"/>
  <c r="F141" i="1" s="1"/>
  <c r="D141" i="1" a="1"/>
  <c r="D141" i="1" s="1"/>
  <c r="C141" i="1" a="1"/>
  <c r="C141" i="1" s="1"/>
  <c r="J141" i="1" a="1"/>
  <c r="J141" i="1" s="1"/>
  <c r="K141" i="1"/>
  <c r="I141" i="1" a="1"/>
  <c r="I141" i="1" s="1"/>
  <c r="B141" i="1" a="1"/>
  <c r="B141" i="1" s="1"/>
  <c r="L142" i="1" l="1" a="1"/>
  <c r="L142" i="1" s="1"/>
  <c r="M142" i="1" a="1"/>
  <c r="M142" i="1" s="1"/>
  <c r="A143" i="1"/>
  <c r="C142" i="1" a="1"/>
  <c r="C142" i="1" s="1"/>
  <c r="D142" i="1" a="1"/>
  <c r="D142" i="1" s="1"/>
  <c r="E142" i="1" a="1"/>
  <c r="E142" i="1" s="1"/>
  <c r="I142" i="1" a="1"/>
  <c r="I142" i="1" s="1"/>
  <c r="J142" i="1" a="1"/>
  <c r="J142" i="1" s="1"/>
  <c r="B142" i="1" a="1"/>
  <c r="B142" i="1" s="1"/>
  <c r="F142" i="1" a="1"/>
  <c r="F142" i="1" s="1"/>
  <c r="K142" i="1"/>
  <c r="L143" i="1" l="1" a="1"/>
  <c r="L143" i="1" s="1"/>
  <c r="M143" i="1" a="1"/>
  <c r="M143" i="1" s="1"/>
  <c r="A144" i="1"/>
  <c r="I143" i="1" a="1"/>
  <c r="I143" i="1" s="1"/>
  <c r="J143" i="1" a="1"/>
  <c r="J143" i="1" s="1"/>
  <c r="K143" i="1"/>
  <c r="F143" i="1" a="1"/>
  <c r="F143" i="1" s="1"/>
  <c r="C143" i="1" a="1"/>
  <c r="C143" i="1" s="1"/>
  <c r="D143" i="1" a="1"/>
  <c r="D143" i="1" s="1"/>
  <c r="E143" i="1" a="1"/>
  <c r="E143" i="1" s="1"/>
  <c r="B143" i="1" a="1"/>
  <c r="B143" i="1" s="1"/>
  <c r="M144" i="1" l="1" a="1"/>
  <c r="M144" i="1" s="1"/>
  <c r="L144" i="1" a="1"/>
  <c r="L144" i="1" s="1"/>
  <c r="A145" i="1"/>
  <c r="K144" i="1"/>
  <c r="D144" i="1" a="1"/>
  <c r="D144" i="1" s="1"/>
  <c r="I144" i="1" a="1"/>
  <c r="I144" i="1" s="1"/>
  <c r="J144" i="1" a="1"/>
  <c r="J144" i="1" s="1"/>
  <c r="B144" i="1" a="1"/>
  <c r="B144" i="1" s="1"/>
  <c r="C144" i="1" a="1"/>
  <c r="C144" i="1" s="1"/>
  <c r="E144" i="1" a="1"/>
  <c r="E144" i="1" s="1"/>
  <c r="F144" i="1" a="1"/>
  <c r="F144" i="1" s="1"/>
  <c r="L145" i="1" l="1" a="1"/>
  <c r="L145" i="1" s="1"/>
  <c r="M145" i="1" a="1"/>
  <c r="M145" i="1" s="1"/>
  <c r="A146" i="1"/>
  <c r="B145" i="1" a="1"/>
  <c r="B145" i="1" s="1"/>
  <c r="D145" i="1" a="1"/>
  <c r="D145" i="1" s="1"/>
  <c r="E145" i="1" a="1"/>
  <c r="E145" i="1" s="1"/>
  <c r="C145" i="1" a="1"/>
  <c r="C145" i="1" s="1"/>
  <c r="F145" i="1" a="1"/>
  <c r="F145" i="1" s="1"/>
  <c r="J145" i="1" a="1"/>
  <c r="J145" i="1" s="1"/>
  <c r="K145" i="1"/>
  <c r="I145" i="1" a="1"/>
  <c r="I145" i="1" s="1"/>
  <c r="M146" i="1" l="1" a="1"/>
  <c r="M146" i="1" s="1"/>
  <c r="L146" i="1" a="1"/>
  <c r="L146" i="1" s="1"/>
  <c r="A147" i="1"/>
  <c r="F146" i="1" a="1"/>
  <c r="F146" i="1" s="1"/>
  <c r="I146" i="1" a="1"/>
  <c r="I146" i="1" s="1"/>
  <c r="J146" i="1" a="1"/>
  <c r="J146" i="1" s="1"/>
  <c r="B146" i="1" a="1"/>
  <c r="B146" i="1" s="1"/>
  <c r="C146" i="1" a="1"/>
  <c r="C146" i="1" s="1"/>
  <c r="D146" i="1" a="1"/>
  <c r="D146" i="1" s="1"/>
  <c r="E146" i="1" a="1"/>
  <c r="E146" i="1" s="1"/>
  <c r="K146" i="1"/>
  <c r="L147" i="1" l="1" a="1"/>
  <c r="L147" i="1" s="1"/>
  <c r="M147" i="1" a="1"/>
  <c r="M147" i="1" s="1"/>
  <c r="A148" i="1"/>
  <c r="D147" i="1" a="1"/>
  <c r="D147" i="1" s="1"/>
  <c r="I147" i="1" a="1"/>
  <c r="I147" i="1" s="1"/>
  <c r="F147" i="1" a="1"/>
  <c r="F147" i="1" s="1"/>
  <c r="J147" i="1" a="1"/>
  <c r="J147" i="1" s="1"/>
  <c r="K147" i="1"/>
  <c r="B147" i="1" a="1"/>
  <c r="B147" i="1" s="1"/>
  <c r="C147" i="1" a="1"/>
  <c r="C147" i="1" s="1"/>
  <c r="E147" i="1" a="1"/>
  <c r="E147" i="1" s="1"/>
  <c r="L148" i="1" l="1" a="1"/>
  <c r="L148" i="1" s="1"/>
  <c r="M148" i="1" a="1"/>
  <c r="M148" i="1" s="1"/>
  <c r="A149" i="1"/>
  <c r="K148" i="1"/>
  <c r="B148" i="1" a="1"/>
  <c r="B148" i="1" s="1"/>
  <c r="C148" i="1" a="1"/>
  <c r="C148" i="1" s="1"/>
  <c r="D148" i="1" a="1"/>
  <c r="D148" i="1" s="1"/>
  <c r="E148" i="1" a="1"/>
  <c r="E148" i="1" s="1"/>
  <c r="F148" i="1" a="1"/>
  <c r="F148" i="1" s="1"/>
  <c r="I148" i="1" a="1"/>
  <c r="I148" i="1" s="1"/>
  <c r="J148" i="1" a="1"/>
  <c r="J148" i="1" s="1"/>
  <c r="L149" i="1" l="1" a="1"/>
  <c r="L149" i="1" s="1"/>
  <c r="M149" i="1" a="1"/>
  <c r="M149" i="1" s="1"/>
  <c r="A150" i="1"/>
  <c r="B149" i="1" a="1"/>
  <c r="B149" i="1" s="1"/>
  <c r="C149" i="1" a="1"/>
  <c r="C149" i="1" s="1"/>
  <c r="F149" i="1" a="1"/>
  <c r="F149" i="1" s="1"/>
  <c r="I149" i="1" a="1"/>
  <c r="I149" i="1" s="1"/>
  <c r="D149" i="1" a="1"/>
  <c r="D149" i="1" s="1"/>
  <c r="E149" i="1" a="1"/>
  <c r="E149" i="1" s="1"/>
  <c r="J149" i="1" a="1"/>
  <c r="J149" i="1" s="1"/>
  <c r="K149" i="1"/>
  <c r="M150" i="1" l="1" a="1"/>
  <c r="M150" i="1" s="1"/>
  <c r="L150" i="1" a="1"/>
  <c r="L150" i="1" s="1"/>
  <c r="A151" i="1"/>
  <c r="C150" i="1" a="1"/>
  <c r="C150" i="1" s="1"/>
  <c r="J150" i="1" a="1"/>
  <c r="J150" i="1" s="1"/>
  <c r="K150" i="1"/>
  <c r="B150" i="1" a="1"/>
  <c r="B150" i="1" s="1"/>
  <c r="F150" i="1" a="1"/>
  <c r="F150" i="1" s="1"/>
  <c r="I150" i="1" a="1"/>
  <c r="I150" i="1" s="1"/>
  <c r="D150" i="1" a="1"/>
  <c r="D150" i="1" s="1"/>
  <c r="E150" i="1" a="1"/>
  <c r="E150" i="1" s="1"/>
  <c r="M151" i="1" l="1" a="1"/>
  <c r="M151" i="1" s="1"/>
  <c r="L151" i="1" a="1"/>
  <c r="L151" i="1" s="1"/>
  <c r="A152" i="1"/>
  <c r="K151" i="1"/>
  <c r="E151" i="1" a="1"/>
  <c r="E151" i="1" s="1"/>
  <c r="B151" i="1" a="1"/>
  <c r="B151" i="1" s="1"/>
  <c r="C151" i="1" a="1"/>
  <c r="C151" i="1" s="1"/>
  <c r="J151" i="1" a="1"/>
  <c r="J151" i="1" s="1"/>
  <c r="D151" i="1" a="1"/>
  <c r="D151" i="1" s="1"/>
  <c r="F151" i="1" a="1"/>
  <c r="F151" i="1" s="1"/>
  <c r="I151" i="1" a="1"/>
  <c r="I151" i="1" s="1"/>
  <c r="L152" i="1" l="1" a="1"/>
  <c r="L152" i="1" s="1"/>
  <c r="M152" i="1" a="1"/>
  <c r="M152" i="1" s="1"/>
  <c r="A153" i="1"/>
  <c r="D152" i="1" a="1"/>
  <c r="D152" i="1" s="1"/>
  <c r="E152" i="1" a="1"/>
  <c r="E152" i="1" s="1"/>
  <c r="F152" i="1" a="1"/>
  <c r="F152" i="1" s="1"/>
  <c r="I152" i="1" a="1"/>
  <c r="I152" i="1" s="1"/>
  <c r="B152" i="1" a="1"/>
  <c r="B152" i="1" s="1"/>
  <c r="C152" i="1" a="1"/>
  <c r="C152" i="1" s="1"/>
  <c r="K152" i="1"/>
  <c r="J152" i="1" a="1"/>
  <c r="J152" i="1" s="1"/>
  <c r="L153" i="1" l="1" a="1"/>
  <c r="L153" i="1" s="1"/>
  <c r="M153" i="1" a="1"/>
  <c r="M153" i="1" s="1"/>
  <c r="A154" i="1"/>
  <c r="C153" i="1" a="1"/>
  <c r="C153" i="1" s="1"/>
  <c r="J153" i="1" a="1"/>
  <c r="J153" i="1" s="1"/>
  <c r="I153" i="1" a="1"/>
  <c r="I153" i="1" s="1"/>
  <c r="K153" i="1"/>
  <c r="D153" i="1" a="1"/>
  <c r="D153" i="1" s="1"/>
  <c r="E153" i="1" a="1"/>
  <c r="E153" i="1" s="1"/>
  <c r="F153" i="1" a="1"/>
  <c r="F153" i="1" s="1"/>
  <c r="B153" i="1" a="1"/>
  <c r="B153" i="1" s="1"/>
  <c r="M154" i="1" l="1" a="1"/>
  <c r="M154" i="1" s="1"/>
  <c r="L154" i="1" a="1"/>
  <c r="L154" i="1" s="1"/>
  <c r="A155" i="1"/>
  <c r="B154" i="1" a="1"/>
  <c r="B154" i="1" s="1"/>
  <c r="K154" i="1"/>
  <c r="E154" i="1" a="1"/>
  <c r="E154" i="1" s="1"/>
  <c r="I154" i="1" a="1"/>
  <c r="I154" i="1" s="1"/>
  <c r="J154" i="1" a="1"/>
  <c r="J154" i="1" s="1"/>
  <c r="C154" i="1" a="1"/>
  <c r="C154" i="1" s="1"/>
  <c r="D154" i="1" a="1"/>
  <c r="D154" i="1" s="1"/>
  <c r="F154" i="1" a="1"/>
  <c r="F154" i="1" s="1"/>
  <c r="M155" i="1" l="1" a="1"/>
  <c r="M155" i="1" s="1"/>
  <c r="L155" i="1" a="1"/>
  <c r="L155" i="1" s="1"/>
  <c r="A156" i="1"/>
  <c r="F155" i="1" a="1"/>
  <c r="F155" i="1" s="1"/>
  <c r="C155" i="1" a="1"/>
  <c r="C155" i="1" s="1"/>
  <c r="D155" i="1" a="1"/>
  <c r="D155" i="1" s="1"/>
  <c r="B155" i="1" a="1"/>
  <c r="B155" i="1" s="1"/>
  <c r="E155" i="1" a="1"/>
  <c r="E155" i="1" s="1"/>
  <c r="I155" i="1" a="1"/>
  <c r="I155" i="1" s="1"/>
  <c r="J155" i="1" a="1"/>
  <c r="J155" i="1" s="1"/>
  <c r="K155" i="1"/>
  <c r="M156" i="1" l="1" a="1"/>
  <c r="M156" i="1" s="1"/>
  <c r="L156" i="1" a="1"/>
  <c r="L156" i="1" s="1"/>
  <c r="A157" i="1"/>
  <c r="E156" i="1" a="1"/>
  <c r="E156" i="1" s="1"/>
  <c r="F156" i="1" a="1"/>
  <c r="F156" i="1" s="1"/>
  <c r="I156" i="1" a="1"/>
  <c r="I156" i="1" s="1"/>
  <c r="J156" i="1" a="1"/>
  <c r="J156" i="1" s="1"/>
  <c r="B156" i="1" a="1"/>
  <c r="B156" i="1" s="1"/>
  <c r="C156" i="1" a="1"/>
  <c r="C156" i="1" s="1"/>
  <c r="D156" i="1" a="1"/>
  <c r="D156" i="1" s="1"/>
  <c r="K156" i="1"/>
  <c r="L157" i="1" l="1" a="1"/>
  <c r="L157" i="1" s="1"/>
  <c r="M157" i="1" a="1"/>
  <c r="M157" i="1" s="1"/>
  <c r="A158" i="1"/>
  <c r="J157" i="1" a="1"/>
  <c r="J157" i="1" s="1"/>
  <c r="F157" i="1" a="1"/>
  <c r="F157" i="1" s="1"/>
  <c r="K157" i="1"/>
  <c r="B157" i="1" a="1"/>
  <c r="B157" i="1" s="1"/>
  <c r="C157" i="1" a="1"/>
  <c r="C157" i="1" s="1"/>
  <c r="E157" i="1" a="1"/>
  <c r="E157" i="1" s="1"/>
  <c r="I157" i="1" a="1"/>
  <c r="I157" i="1" s="1"/>
  <c r="D157" i="1" a="1"/>
  <c r="D157" i="1" s="1"/>
  <c r="L158" i="1" l="1" a="1"/>
  <c r="L158" i="1" s="1"/>
  <c r="M158" i="1" a="1"/>
  <c r="M158" i="1" s="1"/>
  <c r="A159" i="1"/>
  <c r="I158" i="1" a="1"/>
  <c r="I158" i="1" s="1"/>
  <c r="B158" i="1" a="1"/>
  <c r="B158" i="1" s="1"/>
  <c r="C158" i="1" a="1"/>
  <c r="C158" i="1" s="1"/>
  <c r="E158" i="1" a="1"/>
  <c r="E158" i="1" s="1"/>
  <c r="F158" i="1" a="1"/>
  <c r="F158" i="1" s="1"/>
  <c r="J158" i="1" a="1"/>
  <c r="J158" i="1" s="1"/>
  <c r="K158" i="1"/>
  <c r="D158" i="1" a="1"/>
  <c r="D158" i="1" s="1"/>
  <c r="M159" i="1" l="1" a="1"/>
  <c r="M159" i="1" s="1"/>
  <c r="L159" i="1" a="1"/>
  <c r="L159" i="1" s="1"/>
  <c r="A160" i="1"/>
  <c r="B159" i="1" a="1"/>
  <c r="B159" i="1" s="1"/>
  <c r="K159" i="1"/>
  <c r="E159" i="1" a="1"/>
  <c r="E159" i="1" s="1"/>
  <c r="F159" i="1" a="1"/>
  <c r="F159" i="1" s="1"/>
  <c r="C159" i="1" a="1"/>
  <c r="C159" i="1" s="1"/>
  <c r="D159" i="1" a="1"/>
  <c r="D159" i="1" s="1"/>
  <c r="I159" i="1" a="1"/>
  <c r="I159" i="1" s="1"/>
  <c r="J159" i="1" a="1"/>
  <c r="J159" i="1" s="1"/>
  <c r="L160" i="1" l="1" a="1"/>
  <c r="L160" i="1" s="1"/>
  <c r="M160" i="1" a="1"/>
  <c r="M160" i="1" s="1"/>
  <c r="A161" i="1"/>
  <c r="B160" i="1" a="1"/>
  <c r="B160" i="1" s="1"/>
  <c r="C160" i="1" a="1"/>
  <c r="C160" i="1" s="1"/>
  <c r="I160" i="1" a="1"/>
  <c r="I160" i="1" s="1"/>
  <c r="J160" i="1" a="1"/>
  <c r="J160" i="1" s="1"/>
  <c r="K160" i="1"/>
  <c r="E160" i="1" a="1"/>
  <c r="E160" i="1" s="1"/>
  <c r="F160" i="1" a="1"/>
  <c r="F160" i="1" s="1"/>
  <c r="D160" i="1" a="1"/>
  <c r="D160" i="1" s="1"/>
  <c r="L161" i="1" l="1" a="1"/>
  <c r="L161" i="1" s="1"/>
  <c r="M161" i="1" a="1"/>
  <c r="M161" i="1" s="1"/>
  <c r="A162" i="1"/>
  <c r="E161" i="1" a="1"/>
  <c r="E161" i="1" s="1"/>
  <c r="D161" i="1" a="1"/>
  <c r="D161" i="1" s="1"/>
  <c r="B161" i="1" a="1"/>
  <c r="B161" i="1" s="1"/>
  <c r="J161" i="1" a="1"/>
  <c r="J161" i="1" s="1"/>
  <c r="K161" i="1"/>
  <c r="C161" i="1" a="1"/>
  <c r="C161" i="1" s="1"/>
  <c r="F161" i="1" a="1"/>
  <c r="F161" i="1" s="1"/>
  <c r="I161" i="1" a="1"/>
  <c r="I161" i="1" s="1"/>
  <c r="M162" i="1" l="1" a="1"/>
  <c r="M162" i="1" s="1"/>
  <c r="L162" i="1" a="1"/>
  <c r="L162" i="1" s="1"/>
  <c r="A163" i="1"/>
  <c r="F162" i="1" a="1"/>
  <c r="F162" i="1" s="1"/>
  <c r="C162" i="1" a="1"/>
  <c r="C162" i="1" s="1"/>
  <c r="D162" i="1" a="1"/>
  <c r="D162" i="1" s="1"/>
  <c r="E162" i="1" a="1"/>
  <c r="E162" i="1" s="1"/>
  <c r="B162" i="1" a="1"/>
  <c r="B162" i="1" s="1"/>
  <c r="I162" i="1" a="1"/>
  <c r="I162" i="1" s="1"/>
  <c r="J162" i="1" a="1"/>
  <c r="J162" i="1" s="1"/>
  <c r="K162" i="1"/>
  <c r="L163" i="1" l="1" a="1"/>
  <c r="L163" i="1" s="1"/>
  <c r="M163" i="1" a="1"/>
  <c r="M163" i="1" s="1"/>
  <c r="A164" i="1"/>
  <c r="I163" i="1" a="1"/>
  <c r="I163" i="1" s="1"/>
  <c r="F163" i="1" a="1"/>
  <c r="F163" i="1" s="1"/>
  <c r="J163" i="1" a="1"/>
  <c r="J163" i="1" s="1"/>
  <c r="C163" i="1" a="1"/>
  <c r="C163" i="1" s="1"/>
  <c r="D163" i="1" a="1"/>
  <c r="D163" i="1" s="1"/>
  <c r="E163" i="1" a="1"/>
  <c r="E163" i="1" s="1"/>
  <c r="K163" i="1"/>
  <c r="B163" i="1" a="1"/>
  <c r="B163" i="1" s="1"/>
  <c r="L164" i="1" l="1" a="1"/>
  <c r="L164" i="1" s="1"/>
  <c r="M164" i="1" a="1"/>
  <c r="M164" i="1" s="1"/>
  <c r="A165" i="1"/>
  <c r="K164" i="1"/>
  <c r="J164" i="1" a="1"/>
  <c r="J164" i="1" s="1"/>
  <c r="F164" i="1" a="1"/>
  <c r="F164" i="1" s="1"/>
  <c r="I164" i="1" a="1"/>
  <c r="I164" i="1" s="1"/>
  <c r="B164" i="1" a="1"/>
  <c r="B164" i="1" s="1"/>
  <c r="C164" i="1" a="1"/>
  <c r="C164" i="1" s="1"/>
  <c r="D164" i="1" a="1"/>
  <c r="D164" i="1" s="1"/>
  <c r="E164" i="1" a="1"/>
  <c r="E164" i="1" s="1"/>
  <c r="L165" i="1" l="1" a="1"/>
  <c r="L165" i="1" s="1"/>
  <c r="M165" i="1" a="1"/>
  <c r="M165" i="1" s="1"/>
  <c r="A166" i="1"/>
  <c r="B165" i="1" a="1"/>
  <c r="B165" i="1" s="1"/>
  <c r="C165" i="1" a="1"/>
  <c r="C165" i="1" s="1"/>
  <c r="D165" i="1" a="1"/>
  <c r="D165" i="1" s="1"/>
  <c r="J165" i="1" a="1"/>
  <c r="J165" i="1" s="1"/>
  <c r="K165" i="1"/>
  <c r="E165" i="1" a="1"/>
  <c r="E165" i="1" s="1"/>
  <c r="F165" i="1" a="1"/>
  <c r="F165" i="1" s="1"/>
  <c r="I165" i="1" a="1"/>
  <c r="I165" i="1" s="1"/>
  <c r="L166" i="1" l="1" a="1"/>
  <c r="L166" i="1" s="1"/>
  <c r="M166" i="1" a="1"/>
  <c r="M166" i="1" s="1"/>
  <c r="A167" i="1"/>
  <c r="D166" i="1" a="1"/>
  <c r="D166" i="1" s="1"/>
  <c r="E166" i="1" a="1"/>
  <c r="E166" i="1" s="1"/>
  <c r="F166" i="1" a="1"/>
  <c r="F166" i="1" s="1"/>
  <c r="B166" i="1" a="1"/>
  <c r="B166" i="1" s="1"/>
  <c r="C166" i="1" a="1"/>
  <c r="C166" i="1" s="1"/>
  <c r="I166" i="1" a="1"/>
  <c r="I166" i="1" s="1"/>
  <c r="J166" i="1" a="1"/>
  <c r="J166" i="1" s="1"/>
  <c r="K166" i="1"/>
  <c r="L167" i="1" l="1" a="1"/>
  <c r="L167" i="1" s="1"/>
  <c r="M167" i="1" a="1"/>
  <c r="M167" i="1" s="1"/>
  <c r="A168" i="1"/>
  <c r="D167" i="1" a="1"/>
  <c r="D167" i="1" s="1"/>
  <c r="F167" i="1" a="1"/>
  <c r="F167" i="1" s="1"/>
  <c r="I167" i="1" a="1"/>
  <c r="I167" i="1" s="1"/>
  <c r="J167" i="1" a="1"/>
  <c r="J167" i="1" s="1"/>
  <c r="K167" i="1"/>
  <c r="C167" i="1" a="1"/>
  <c r="C167" i="1" s="1"/>
  <c r="E167" i="1" a="1"/>
  <c r="E167" i="1" s="1"/>
  <c r="B167" i="1" a="1"/>
  <c r="B167" i="1" s="1"/>
  <c r="L168" i="1" l="1" a="1"/>
  <c r="L168" i="1" s="1"/>
  <c r="M168" i="1" a="1"/>
  <c r="M168" i="1" s="1"/>
  <c r="A169" i="1"/>
  <c r="I168" i="1" a="1"/>
  <c r="I168" i="1" s="1"/>
  <c r="K168" i="1"/>
  <c r="C168" i="1" a="1"/>
  <c r="C168" i="1" s="1"/>
  <c r="D168" i="1" a="1"/>
  <c r="D168" i="1" s="1"/>
  <c r="J168" i="1" a="1"/>
  <c r="J168" i="1" s="1"/>
  <c r="B168" i="1" a="1"/>
  <c r="B168" i="1" s="1"/>
  <c r="E168" i="1" a="1"/>
  <c r="E168" i="1" s="1"/>
  <c r="F168" i="1" a="1"/>
  <c r="F168" i="1" s="1"/>
  <c r="M169" i="1" l="1" a="1"/>
  <c r="M169" i="1" s="1"/>
  <c r="L169" i="1" a="1"/>
  <c r="L169" i="1" s="1"/>
  <c r="A170" i="1"/>
  <c r="J169" i="1" a="1"/>
  <c r="J169" i="1" s="1"/>
  <c r="B169" i="1" a="1"/>
  <c r="B169" i="1" s="1"/>
  <c r="C169" i="1" a="1"/>
  <c r="C169" i="1" s="1"/>
  <c r="D169" i="1" a="1"/>
  <c r="D169" i="1" s="1"/>
  <c r="K169" i="1"/>
  <c r="E169" i="1" a="1"/>
  <c r="E169" i="1" s="1"/>
  <c r="F169" i="1" a="1"/>
  <c r="F169" i="1" s="1"/>
  <c r="I169" i="1" a="1"/>
  <c r="I169" i="1" s="1"/>
  <c r="L170" i="1" l="1" a="1"/>
  <c r="L170" i="1" s="1"/>
  <c r="M170" i="1" a="1"/>
  <c r="M170" i="1" s="1"/>
  <c r="A171" i="1"/>
  <c r="D170" i="1" a="1"/>
  <c r="D170" i="1" s="1"/>
  <c r="E170" i="1" a="1"/>
  <c r="E170" i="1" s="1"/>
  <c r="F170" i="1" a="1"/>
  <c r="F170" i="1" s="1"/>
  <c r="I170" i="1" a="1"/>
  <c r="I170" i="1" s="1"/>
  <c r="B170" i="1" a="1"/>
  <c r="B170" i="1" s="1"/>
  <c r="C170" i="1" a="1"/>
  <c r="C170" i="1" s="1"/>
  <c r="K170" i="1"/>
  <c r="J170" i="1" a="1"/>
  <c r="J170" i="1" s="1"/>
  <c r="L171" i="1" l="1" a="1"/>
  <c r="L171" i="1" s="1"/>
  <c r="M171" i="1" a="1"/>
  <c r="M171" i="1" s="1"/>
  <c r="A172" i="1"/>
  <c r="K171" i="1"/>
  <c r="C171" i="1" a="1"/>
  <c r="C171" i="1" s="1"/>
  <c r="I171" i="1" a="1"/>
  <c r="I171" i="1" s="1"/>
  <c r="J171" i="1" a="1"/>
  <c r="J171" i="1" s="1"/>
  <c r="D171" i="1" a="1"/>
  <c r="D171" i="1" s="1"/>
  <c r="E171" i="1" a="1"/>
  <c r="E171" i="1" s="1"/>
  <c r="F171" i="1" a="1"/>
  <c r="F171" i="1" s="1"/>
  <c r="B171" i="1" a="1"/>
  <c r="B171" i="1" s="1"/>
  <c r="L172" i="1" l="1" a="1"/>
  <c r="L172" i="1" s="1"/>
  <c r="M172" i="1" a="1"/>
  <c r="M172" i="1" s="1"/>
  <c r="A173" i="1"/>
  <c r="E172" i="1" a="1"/>
  <c r="E172" i="1" s="1"/>
  <c r="K172" i="1"/>
  <c r="C172" i="1" a="1"/>
  <c r="C172" i="1" s="1"/>
  <c r="D172" i="1" a="1"/>
  <c r="D172" i="1" s="1"/>
  <c r="I172" i="1" a="1"/>
  <c r="I172" i="1" s="1"/>
  <c r="J172" i="1" a="1"/>
  <c r="J172" i="1" s="1"/>
  <c r="B172" i="1" a="1"/>
  <c r="B172" i="1" s="1"/>
  <c r="F172" i="1" a="1"/>
  <c r="F172" i="1" s="1"/>
  <c r="L173" i="1" l="1" a="1"/>
  <c r="L173" i="1" s="1"/>
  <c r="M173" i="1" a="1"/>
  <c r="M173" i="1" s="1"/>
  <c r="A174" i="1"/>
  <c r="C173" i="1" a="1"/>
  <c r="C173" i="1" s="1"/>
  <c r="B173" i="1" a="1"/>
  <c r="B173" i="1" s="1"/>
  <c r="D173" i="1" a="1"/>
  <c r="D173" i="1" s="1"/>
  <c r="F173" i="1" a="1"/>
  <c r="F173" i="1" s="1"/>
  <c r="K173" i="1"/>
  <c r="E173" i="1" a="1"/>
  <c r="E173" i="1" s="1"/>
  <c r="I173" i="1" a="1"/>
  <c r="I173" i="1" s="1"/>
  <c r="J173" i="1" a="1"/>
  <c r="J173" i="1" s="1"/>
  <c r="M174" i="1" l="1" a="1"/>
  <c r="M174" i="1" s="1"/>
  <c r="L174" i="1" a="1"/>
  <c r="L174" i="1" s="1"/>
  <c r="A175" i="1"/>
  <c r="J174" i="1" a="1"/>
  <c r="J174" i="1" s="1"/>
  <c r="D174" i="1" a="1"/>
  <c r="D174" i="1" s="1"/>
  <c r="E174" i="1" a="1"/>
  <c r="E174" i="1" s="1"/>
  <c r="F174" i="1" a="1"/>
  <c r="F174" i="1" s="1"/>
  <c r="B174" i="1" a="1"/>
  <c r="B174" i="1" s="1"/>
  <c r="C174" i="1" a="1"/>
  <c r="C174" i="1" s="1"/>
  <c r="I174" i="1" a="1"/>
  <c r="I174" i="1" s="1"/>
  <c r="K174" i="1"/>
  <c r="M175" i="1" l="1" a="1"/>
  <c r="M175" i="1" s="1"/>
  <c r="L175" i="1" a="1"/>
  <c r="L175" i="1" s="1"/>
  <c r="A176" i="1"/>
  <c r="F175" i="1" a="1"/>
  <c r="F175" i="1" s="1"/>
  <c r="I175" i="1" a="1"/>
  <c r="I175" i="1" s="1"/>
  <c r="J175" i="1" a="1"/>
  <c r="J175" i="1" s="1"/>
  <c r="K175" i="1"/>
  <c r="B175" i="1" a="1"/>
  <c r="B175" i="1" s="1"/>
  <c r="D175" i="1" a="1"/>
  <c r="D175" i="1" s="1"/>
  <c r="E175" i="1" a="1"/>
  <c r="E175" i="1" s="1"/>
  <c r="C175" i="1" a="1"/>
  <c r="C175" i="1" s="1"/>
  <c r="M176" i="1" l="1" a="1"/>
  <c r="M176" i="1" s="1"/>
  <c r="L176" i="1" a="1"/>
  <c r="L176" i="1" s="1"/>
  <c r="A177" i="1"/>
  <c r="B176" i="1" a="1"/>
  <c r="B176" i="1" s="1"/>
  <c r="K176" i="1"/>
  <c r="D176" i="1" a="1"/>
  <c r="D176" i="1" s="1"/>
  <c r="E176" i="1" a="1"/>
  <c r="E176" i="1" s="1"/>
  <c r="I176" i="1" a="1"/>
  <c r="I176" i="1" s="1"/>
  <c r="J176" i="1" a="1"/>
  <c r="J176" i="1" s="1"/>
  <c r="C176" i="1" a="1"/>
  <c r="C176" i="1" s="1"/>
  <c r="F176" i="1" a="1"/>
  <c r="F176" i="1" s="1"/>
  <c r="M177" i="1" l="1" a="1"/>
  <c r="M177" i="1" s="1"/>
  <c r="L177" i="1" a="1"/>
  <c r="L177" i="1" s="1"/>
  <c r="J177" i="1" a="1"/>
  <c r="J177" i="1" s="1"/>
  <c r="D177" i="1" a="1"/>
  <c r="D177" i="1" s="1"/>
  <c r="B177" i="1" a="1"/>
  <c r="B177" i="1" s="1"/>
  <c r="C177" i="1" a="1"/>
  <c r="C177" i="1" s="1"/>
  <c r="E177" i="1" a="1"/>
  <c r="E177" i="1" s="1"/>
  <c r="K177" i="1"/>
  <c r="I177" i="1" a="1"/>
  <c r="I177" i="1" s="1"/>
  <c r="F177" i="1" a="1"/>
  <c r="F17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<sst xmlns="http://schemas.openxmlformats.org/spreadsheetml/2006/main" count="13" uniqueCount="13">
  <si>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Date</t>
  </si>
  <si>
    <t>Dubai</t>
  </si>
  <si>
    <t>Brent</t>
  </si>
  <si>
    <t>Naphtha</t>
  </si>
  <si>
    <t>Gasoline</t>
  </si>
  <si>
    <t>Refinery Run</t>
  </si>
  <si>
    <t>Gasoline_Inventory</t>
  </si>
  <si>
    <t xml:space="preserve">Singapore 92 RON Timespread M1/M2 </t>
  </si>
  <si>
    <t>Asia Balance</t>
  </si>
  <si>
    <t>Ethanol</t>
  </si>
  <si>
    <t>Seasonal</t>
  </si>
  <si>
    <t>AP Gasoline Demand</t>
  </si>
  <si>
    <t>Utilisation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</si>
</sst>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Database\Price%20Data\Prices%20and%20Margins2.xlsm" TargetMode="External"/><Relationship Id="rId1" Type="http://schemas.openxmlformats.org/officeDocument/2006/relationships/externalLinkPath" Target="file:///R:\Database\Price%20Data\Prices%20and%20Margins2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Database\APPM\ASIA%20MASTER.xlsx" TargetMode="External"/><Relationship Id="rId1" Type="http://schemas.openxmlformats.org/officeDocument/2006/relationships/externalLinkPath" Target="file:///\\SIN-FS01\Research$\Database\APPM\ASIA%20MASTER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Products\Gasoline\Gasoline%20cracks%20Linked.xlsm" TargetMode="External"/><Relationship Id="rId1" Type="http://schemas.openxmlformats.org/officeDocument/2006/relationships/externalLinkPath" Target="Gasoline%20cracks%20Link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eekly Table"/>
      <sheetName val="Weekly Charts"/>
      <sheetName val="Cracks"/>
      <sheetName val="Daily"/>
      <sheetName val="Diffs"/>
      <sheetName val="MVdaily"/>
      <sheetName val="Weekly"/>
      <sheetName val="Monthly"/>
      <sheetName val="Quarter"/>
      <sheetName val="Monthly Forecast"/>
      <sheetName val="MVweekly"/>
      <sheetName val="MVmonthly"/>
      <sheetName val="Others"/>
      <sheetName val="JEFF"/>
      <sheetName val="FO GO Spreads"/>
      <sheetName val="Sheet1"/>
      <sheetName val="Prods"/>
      <sheetName val="ULSD"/>
      <sheetName val="Annual cracks margin and prices"/>
      <sheetName val="Annual Pric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O1" t="str">
            <v>HSFO</v>
          </cell>
        </row>
        <row r="2">
          <cell r="O2">
            <v>0.4611897912087265</v>
          </cell>
        </row>
        <row r="3">
          <cell r="O3">
            <v>0.12529999999999999</v>
          </cell>
        </row>
        <row r="4">
          <cell r="O4">
            <v>0.25180000000000002</v>
          </cell>
        </row>
        <row r="5">
          <cell r="S5">
            <v>-7.7931490949994853</v>
          </cell>
        </row>
        <row r="6">
          <cell r="O6">
            <v>-3.550477272727278</v>
          </cell>
          <cell r="P6">
            <v>-2.9548484848484691</v>
          </cell>
          <cell r="R6">
            <v>-3.8438636363636363</v>
          </cell>
          <cell r="S6">
            <v>-10.759499999999989</v>
          </cell>
        </row>
        <row r="8">
          <cell r="C8" t="str">
            <v>Month</v>
          </cell>
          <cell r="O8" t="str">
            <v xml:space="preserve">Dubai </v>
          </cell>
          <cell r="P8" t="str">
            <v>Brent</v>
          </cell>
          <cell r="R8" t="str">
            <v>Naphtha</v>
          </cell>
          <cell r="S8" t="str">
            <v>Mogas (92 RONC)</v>
          </cell>
        </row>
        <row r="9">
          <cell r="O9" t="str">
            <v>1st month</v>
          </cell>
          <cell r="P9" t="str">
            <v>Dated</v>
          </cell>
        </row>
        <row r="10">
          <cell r="O10" t="str">
            <v>$ / bbl</v>
          </cell>
          <cell r="P10" t="str">
            <v>$ / bbl</v>
          </cell>
          <cell r="R10" t="str">
            <v>$ / bbl</v>
          </cell>
          <cell r="S10" t="str">
            <v>$ / bbl</v>
          </cell>
        </row>
        <row r="11">
          <cell r="C11">
            <v>38718</v>
          </cell>
          <cell r="O11">
            <v>55.364210526315794</v>
          </cell>
          <cell r="P11">
            <v>60.182045454545452</v>
          </cell>
          <cell r="R11">
            <v>55.190526315789477</v>
          </cell>
          <cell r="S11">
            <v>61.978421052631575</v>
          </cell>
        </row>
        <row r="12">
          <cell r="C12">
            <v>38749</v>
          </cell>
          <cell r="O12">
            <v>57.604999999999997</v>
          </cell>
          <cell r="P12">
            <v>60.11999999999999</v>
          </cell>
          <cell r="R12">
            <v>56.645000000000003</v>
          </cell>
          <cell r="S12">
            <v>64.200500000000005</v>
          </cell>
        </row>
        <row r="13">
          <cell r="C13">
            <v>38777</v>
          </cell>
          <cell r="O13">
            <v>57.816521739130437</v>
          </cell>
          <cell r="P13">
            <v>62.094782608695645</v>
          </cell>
          <cell r="R13">
            <v>59.823043478260871</v>
          </cell>
          <cell r="S13">
            <v>69.049565217391304</v>
          </cell>
        </row>
        <row r="14">
          <cell r="C14">
            <v>38808</v>
          </cell>
          <cell r="O14">
            <v>64.143684210526303</v>
          </cell>
          <cell r="P14">
            <v>70.345526315789471</v>
          </cell>
          <cell r="R14">
            <v>64.446315789473701</v>
          </cell>
          <cell r="S14">
            <v>80.14947368421052</v>
          </cell>
        </row>
        <row r="15">
          <cell r="C15">
            <v>38838</v>
          </cell>
          <cell r="O15">
            <v>65.000476190476206</v>
          </cell>
          <cell r="P15">
            <v>69.827954545454546</v>
          </cell>
          <cell r="R15">
            <v>65.59</v>
          </cell>
          <cell r="S15">
            <v>86.172857142857154</v>
          </cell>
        </row>
        <row r="16">
          <cell r="C16">
            <v>38869</v>
          </cell>
          <cell r="O16">
            <v>65.22045454545453</v>
          </cell>
          <cell r="P16">
            <v>68.68840909090909</v>
          </cell>
          <cell r="R16">
            <v>68.058636363636367</v>
          </cell>
          <cell r="S16">
            <v>82.206363636363633</v>
          </cell>
        </row>
        <row r="17">
          <cell r="C17">
            <v>38899</v>
          </cell>
          <cell r="O17">
            <v>69.165476190476184</v>
          </cell>
          <cell r="P17">
            <v>73.65928571428573</v>
          </cell>
          <cell r="R17">
            <v>70.545238095238091</v>
          </cell>
          <cell r="S17">
            <v>84.47</v>
          </cell>
        </row>
        <row r="18">
          <cell r="C18">
            <v>38930</v>
          </cell>
          <cell r="O18">
            <v>68.765000000000001</v>
          </cell>
          <cell r="P18">
            <v>73.109130434782614</v>
          </cell>
          <cell r="R18">
            <v>66.586363636363657</v>
          </cell>
          <cell r="S18">
            <v>80.358636363636364</v>
          </cell>
        </row>
        <row r="19">
          <cell r="C19">
            <v>38961</v>
          </cell>
          <cell r="O19">
            <v>59.815952380952382</v>
          </cell>
          <cell r="P19">
            <v>61.71</v>
          </cell>
          <cell r="R19">
            <v>57.323333333333345</v>
          </cell>
          <cell r="S19">
            <v>65.177142857142854</v>
          </cell>
        </row>
        <row r="20">
          <cell r="C20">
            <v>38991</v>
          </cell>
          <cell r="O20">
            <v>56.423809523809538</v>
          </cell>
          <cell r="P20">
            <v>57.794545454545464</v>
          </cell>
          <cell r="R20">
            <v>56.029523809523802</v>
          </cell>
          <cell r="S20">
            <v>61.212380952380968</v>
          </cell>
        </row>
        <row r="21">
          <cell r="C21">
            <v>39022</v>
          </cell>
          <cell r="O21">
            <v>56.716136363636366</v>
          </cell>
          <cell r="P21">
            <v>58.915227272727265</v>
          </cell>
          <cell r="R21">
            <v>57.664090909090902</v>
          </cell>
          <cell r="S21">
            <v>62.143636363636354</v>
          </cell>
        </row>
        <row r="22">
          <cell r="C22">
            <v>39052</v>
          </cell>
          <cell r="O22">
            <v>58.684500000000028</v>
          </cell>
          <cell r="P22">
            <v>62.324500000000015</v>
          </cell>
          <cell r="R22">
            <v>60.536999999999992</v>
          </cell>
          <cell r="S22">
            <v>67.025999999999996</v>
          </cell>
        </row>
        <row r="23">
          <cell r="C23">
            <v>39083</v>
          </cell>
          <cell r="O23">
            <v>51.693333333333342</v>
          </cell>
          <cell r="P23">
            <v>53.679545454545455</v>
          </cell>
          <cell r="R23">
            <v>56.787619047619046</v>
          </cell>
          <cell r="S23">
            <v>60.31380952380951</v>
          </cell>
        </row>
        <row r="24">
          <cell r="C24">
            <v>39114</v>
          </cell>
          <cell r="O24">
            <v>55.75222222222223</v>
          </cell>
          <cell r="P24">
            <v>57.426500000000011</v>
          </cell>
          <cell r="R24">
            <v>63.80833333333333</v>
          </cell>
          <cell r="S24">
            <v>65.733888888888885</v>
          </cell>
        </row>
        <row r="25">
          <cell r="C25">
            <v>39142</v>
          </cell>
          <cell r="O25">
            <v>58.801136363636367</v>
          </cell>
          <cell r="P25">
            <v>62.149545454545461</v>
          </cell>
          <cell r="R25">
            <v>70.56</v>
          </cell>
          <cell r="S25">
            <v>75.519545454545451</v>
          </cell>
        </row>
        <row r="26">
          <cell r="C26">
            <v>39173</v>
          </cell>
          <cell r="O26">
            <v>63.967750000000002</v>
          </cell>
          <cell r="P26">
            <v>67.506999999999991</v>
          </cell>
          <cell r="R26">
            <v>74.221500000000006</v>
          </cell>
          <cell r="S26">
            <v>82.693000000000012</v>
          </cell>
        </row>
        <row r="27">
          <cell r="C27">
            <v>39203</v>
          </cell>
          <cell r="O27">
            <v>64.610238095238103</v>
          </cell>
          <cell r="P27">
            <v>67.229318181818186</v>
          </cell>
          <cell r="R27">
            <v>76.731904761904772</v>
          </cell>
          <cell r="S27">
            <v>87.96380952380953</v>
          </cell>
        </row>
        <row r="28">
          <cell r="C28">
            <v>39234</v>
          </cell>
          <cell r="O28">
            <v>65.790238095238109</v>
          </cell>
          <cell r="P28">
            <v>71.543571428571411</v>
          </cell>
          <cell r="R28">
            <v>73.117142857142866</v>
          </cell>
          <cell r="S28">
            <v>83.820952380952392</v>
          </cell>
        </row>
        <row r="29">
          <cell r="C29">
            <v>39264</v>
          </cell>
          <cell r="O29">
            <v>69.492045454545462</v>
          </cell>
          <cell r="P29">
            <v>77.005909090909086</v>
          </cell>
          <cell r="R29">
            <v>75.103181818181824</v>
          </cell>
          <cell r="S29">
            <v>84.35681818181817</v>
          </cell>
        </row>
        <row r="30">
          <cell r="C30">
            <v>39295</v>
          </cell>
          <cell r="O30">
            <v>67.382045454545448</v>
          </cell>
          <cell r="P30">
            <v>70.734130434782614</v>
          </cell>
          <cell r="R30">
            <v>71.340909090909108</v>
          </cell>
          <cell r="S30">
            <v>76.048181818181817</v>
          </cell>
        </row>
        <row r="31">
          <cell r="C31">
            <v>39326</v>
          </cell>
          <cell r="O31">
            <v>73.361500000000007</v>
          </cell>
          <cell r="P31">
            <v>76.869499999999988</v>
          </cell>
          <cell r="R31">
            <v>75.277500000000003</v>
          </cell>
          <cell r="S31">
            <v>81.349499999999964</v>
          </cell>
        </row>
        <row r="32">
          <cell r="C32">
            <v>39356</v>
          </cell>
          <cell r="O32">
            <v>77.122173913043483</v>
          </cell>
          <cell r="P32">
            <v>82.49673913043479</v>
          </cell>
          <cell r="R32">
            <v>81.180434782608671</v>
          </cell>
          <cell r="S32">
            <v>87.456521739130437</v>
          </cell>
        </row>
        <row r="33">
          <cell r="C33">
            <v>39387</v>
          </cell>
          <cell r="O33">
            <v>86.869285714285695</v>
          </cell>
          <cell r="P33">
            <v>92.61272727272727</v>
          </cell>
          <cell r="R33">
            <v>91.38190476190475</v>
          </cell>
          <cell r="S33">
            <v>98.942380952380944</v>
          </cell>
        </row>
        <row r="34">
          <cell r="C34">
            <v>39417</v>
          </cell>
          <cell r="O34">
            <v>85.579117647058823</v>
          </cell>
          <cell r="P34">
            <v>90.97416666666669</v>
          </cell>
          <cell r="R34">
            <v>92.241176470588243</v>
          </cell>
          <cell r="S34">
            <v>97.093529411764692</v>
          </cell>
        </row>
        <row r="35">
          <cell r="C35">
            <v>39448</v>
          </cell>
          <cell r="O35">
            <v>87.367727272727265</v>
          </cell>
          <cell r="P35">
            <v>91.99909090909091</v>
          </cell>
          <cell r="R35">
            <v>93.12590909090909</v>
          </cell>
          <cell r="S35">
            <v>99.560909090909121</v>
          </cell>
        </row>
        <row r="36">
          <cell r="C36">
            <v>39479</v>
          </cell>
          <cell r="O36">
            <v>90.021578947368425</v>
          </cell>
          <cell r="P36">
            <v>95.035714285714263</v>
          </cell>
          <cell r="R36">
            <v>95.073157894736852</v>
          </cell>
          <cell r="S36">
            <v>104.12736842105265</v>
          </cell>
        </row>
        <row r="37">
          <cell r="C37">
            <v>39508</v>
          </cell>
          <cell r="O37">
            <v>96.757000000000019</v>
          </cell>
          <cell r="P37">
            <v>103.66225</v>
          </cell>
          <cell r="R37">
            <v>97.605499999999992</v>
          </cell>
          <cell r="S37">
            <v>109.16749999999999</v>
          </cell>
        </row>
        <row r="38">
          <cell r="C38">
            <v>39539</v>
          </cell>
          <cell r="O38">
            <v>103.41204545454546</v>
          </cell>
          <cell r="P38">
            <v>108.97136363636361</v>
          </cell>
          <cell r="R38">
            <v>102.6140909090909</v>
          </cell>
          <cell r="S38">
            <v>117.09227272727271</v>
          </cell>
        </row>
        <row r="39">
          <cell r="C39">
            <v>39569</v>
          </cell>
          <cell r="O39">
            <v>119.497</v>
          </cell>
          <cell r="P39">
            <v>122.72523809523807</v>
          </cell>
          <cell r="R39">
            <v>113.694</v>
          </cell>
          <cell r="S39">
            <v>130.05699999999999</v>
          </cell>
        </row>
        <row r="40">
          <cell r="C40">
            <v>39600</v>
          </cell>
          <cell r="O40">
            <v>127.81785714285714</v>
          </cell>
          <cell r="P40">
            <v>132.43571428571425</v>
          </cell>
          <cell r="R40">
            <v>125.25000000000003</v>
          </cell>
          <cell r="S40">
            <v>138.77761904761905</v>
          </cell>
        </row>
        <row r="41">
          <cell r="C41">
            <v>39630</v>
          </cell>
          <cell r="O41">
            <v>131.27347826086952</v>
          </cell>
          <cell r="P41">
            <v>133.18173913043478</v>
          </cell>
          <cell r="R41">
            <v>125.45869565217392</v>
          </cell>
          <cell r="S41">
            <v>134.69913043478263</v>
          </cell>
        </row>
        <row r="42">
          <cell r="C42">
            <v>39661</v>
          </cell>
          <cell r="O42">
            <v>112.85523809523812</v>
          </cell>
          <cell r="P42">
            <v>113.0297619047619</v>
          </cell>
          <cell r="R42">
            <v>108.37476190476193</v>
          </cell>
          <cell r="S42">
            <v>113.9795238095238</v>
          </cell>
        </row>
        <row r="43">
          <cell r="C43">
            <v>39692</v>
          </cell>
          <cell r="O43">
            <v>95.903636363636366</v>
          </cell>
          <cell r="P43">
            <v>98.12954545454545</v>
          </cell>
          <cell r="R43">
            <v>91.972272727272724</v>
          </cell>
          <cell r="S43">
            <v>104.82227272727273</v>
          </cell>
        </row>
        <row r="44">
          <cell r="C44">
            <v>39722</v>
          </cell>
          <cell r="O44">
            <v>67.421428571428578</v>
          </cell>
          <cell r="P44">
            <v>71.867608695652166</v>
          </cell>
          <cell r="R44">
            <v>51.123333333333328</v>
          </cell>
          <cell r="S44">
            <v>77.125714285714281</v>
          </cell>
        </row>
        <row r="45">
          <cell r="C45">
            <v>39753</v>
          </cell>
          <cell r="O45">
            <v>49.842500000000008</v>
          </cell>
          <cell r="P45">
            <v>52.507499999999993</v>
          </cell>
          <cell r="R45">
            <v>29.088999999999992</v>
          </cell>
          <cell r="S45">
            <v>47.44700000000001</v>
          </cell>
        </row>
        <row r="46">
          <cell r="C46">
            <v>39783</v>
          </cell>
          <cell r="O46">
            <v>40.533000000000001</v>
          </cell>
          <cell r="P46">
            <v>40.347619047619048</v>
          </cell>
          <cell r="R46">
            <v>31.000999999999998</v>
          </cell>
          <cell r="S46">
            <v>38.881500000000003</v>
          </cell>
        </row>
        <row r="47">
          <cell r="C47">
            <v>39814</v>
          </cell>
          <cell r="O47">
            <v>44.123157894736842</v>
          </cell>
          <cell r="P47">
            <v>43.590714285714284</v>
          </cell>
          <cell r="R47">
            <v>42.575263157894732</v>
          </cell>
          <cell r="S47">
            <v>48.974210526315794</v>
          </cell>
        </row>
        <row r="48">
          <cell r="C48">
            <v>39845</v>
          </cell>
          <cell r="O48">
            <v>43.089999999999996</v>
          </cell>
          <cell r="P48">
            <v>43.07</v>
          </cell>
          <cell r="R48">
            <v>46.837499999999999</v>
          </cell>
          <cell r="S48">
            <v>55.420500000000004</v>
          </cell>
        </row>
        <row r="49">
          <cell r="C49">
            <v>39873</v>
          </cell>
          <cell r="O49">
            <v>45.586136363636356</v>
          </cell>
          <cell r="P49">
            <v>46.544090909090912</v>
          </cell>
          <cell r="R49">
            <v>46.529090909090911</v>
          </cell>
          <cell r="S49">
            <v>53.137272727272716</v>
          </cell>
        </row>
        <row r="50">
          <cell r="C50">
            <v>39904</v>
          </cell>
          <cell r="O50">
            <v>50.100476190476186</v>
          </cell>
          <cell r="P50">
            <v>50.336499999999994</v>
          </cell>
          <cell r="R50">
            <v>49.350952380952378</v>
          </cell>
          <cell r="S50">
            <v>58.265714285714282</v>
          </cell>
        </row>
        <row r="51">
          <cell r="C51">
            <v>39934</v>
          </cell>
          <cell r="O51">
            <v>57.853249999999989</v>
          </cell>
          <cell r="P51">
            <v>57.480526315789469</v>
          </cell>
          <cell r="R51">
            <v>54.012999999999998</v>
          </cell>
          <cell r="S51">
            <v>65.479500000000002</v>
          </cell>
        </row>
        <row r="52">
          <cell r="C52">
            <v>39965</v>
          </cell>
          <cell r="O52">
            <v>69.409545454545466</v>
          </cell>
          <cell r="P52">
            <v>68.551136363636331</v>
          </cell>
          <cell r="R52">
            <v>65.859090909090924</v>
          </cell>
          <cell r="S52">
            <v>75.006818181818161</v>
          </cell>
        </row>
        <row r="53">
          <cell r="C53">
            <v>39995</v>
          </cell>
          <cell r="O53">
            <v>64.819130434782622</v>
          </cell>
          <cell r="P53">
            <v>64.606086956521736</v>
          </cell>
          <cell r="R53">
            <v>62.921739130434773</v>
          </cell>
          <cell r="S53">
            <v>70.844347826086974</v>
          </cell>
        </row>
        <row r="54">
          <cell r="C54">
            <v>40026</v>
          </cell>
          <cell r="O54">
            <v>71.340500000000006</v>
          </cell>
          <cell r="P54">
            <v>72.826250000000016</v>
          </cell>
          <cell r="R54">
            <v>70.367500000000007</v>
          </cell>
          <cell r="S54">
            <v>80.13000000000001</v>
          </cell>
        </row>
        <row r="55">
          <cell r="C55">
            <v>40057</v>
          </cell>
          <cell r="O55">
            <v>67.642857142857139</v>
          </cell>
          <cell r="P55">
            <v>67.386818181818171</v>
          </cell>
          <cell r="R55">
            <v>66.799047619047627</v>
          </cell>
          <cell r="S55">
            <v>73.836190476190467</v>
          </cell>
        </row>
        <row r="56">
          <cell r="C56">
            <v>40087</v>
          </cell>
          <cell r="O56">
            <v>73.150909090909096</v>
          </cell>
          <cell r="P56">
            <v>72.752272727272711</v>
          </cell>
          <cell r="R56">
            <v>69.199090909090913</v>
          </cell>
          <cell r="S56">
            <v>76.047727272727272</v>
          </cell>
        </row>
        <row r="57">
          <cell r="C57">
            <v>40118</v>
          </cell>
          <cell r="O57">
            <v>77.714500000000015</v>
          </cell>
          <cell r="P57">
            <v>76.655476190476179</v>
          </cell>
          <cell r="R57">
            <v>76.205500000000001</v>
          </cell>
          <cell r="S57">
            <v>79.882000000000005</v>
          </cell>
        </row>
        <row r="58">
          <cell r="C58">
            <v>40148</v>
          </cell>
          <cell r="O58">
            <v>75.421590909090909</v>
          </cell>
          <cell r="P58">
            <v>74.275238095238109</v>
          </cell>
          <cell r="R58">
            <v>78.283636363636347</v>
          </cell>
          <cell r="S58">
            <v>78.945000000000007</v>
          </cell>
        </row>
        <row r="59">
          <cell r="C59">
            <v>40179</v>
          </cell>
          <cell r="O59">
            <v>76.69</v>
          </cell>
          <cell r="P59">
            <v>76.189249999999987</v>
          </cell>
          <cell r="R59">
            <v>80.664000000000016</v>
          </cell>
          <cell r="S59">
            <v>84.87299999999999</v>
          </cell>
        </row>
        <row r="60">
          <cell r="C60">
            <v>40210</v>
          </cell>
          <cell r="O60">
            <v>73.480000000000018</v>
          </cell>
          <cell r="P60">
            <v>73.633250000000004</v>
          </cell>
          <cell r="R60">
            <v>75.760000000000019</v>
          </cell>
          <cell r="S60">
            <v>83.548333333333346</v>
          </cell>
        </row>
        <row r="61">
          <cell r="C61">
            <v>40238</v>
          </cell>
          <cell r="O61">
            <v>77.312173913043495</v>
          </cell>
          <cell r="P61">
            <v>78.892391304347825</v>
          </cell>
          <cell r="R61">
            <v>80.841739130434789</v>
          </cell>
          <cell r="S61">
            <v>88.478260869565233</v>
          </cell>
        </row>
        <row r="62">
          <cell r="C62">
            <v>40269</v>
          </cell>
          <cell r="O62">
            <v>83.589523809523797</v>
          </cell>
          <cell r="P62">
            <v>84.88600000000001</v>
          </cell>
          <cell r="R62">
            <v>83.129523809523818</v>
          </cell>
          <cell r="S62">
            <v>91.906666666666666</v>
          </cell>
        </row>
        <row r="63">
          <cell r="C63">
            <v>40299</v>
          </cell>
          <cell r="O63">
            <v>76.779000000000025</v>
          </cell>
          <cell r="P63">
            <v>75.162631578947369</v>
          </cell>
          <cell r="R63">
            <v>77.425500000000014</v>
          </cell>
          <cell r="S63">
            <v>83.03649999999999</v>
          </cell>
        </row>
        <row r="64">
          <cell r="C64">
            <v>40330</v>
          </cell>
          <cell r="O64">
            <v>73.985454545454544</v>
          </cell>
          <cell r="P64">
            <v>74.850227272727281</v>
          </cell>
          <cell r="R64">
            <v>72.415454545454566</v>
          </cell>
          <cell r="S64">
            <v>81.535454545454527</v>
          </cell>
        </row>
        <row r="65">
          <cell r="C65">
            <v>40360</v>
          </cell>
          <cell r="O65">
            <v>72.486590909090893</v>
          </cell>
          <cell r="P65">
            <v>75.637499999999989</v>
          </cell>
          <cell r="R65">
            <v>68.564999999999998</v>
          </cell>
          <cell r="S65">
            <v>80.372272727272716</v>
          </cell>
        </row>
        <row r="66">
          <cell r="C66">
            <v>40391</v>
          </cell>
          <cell r="O66">
            <v>74.086190476190467</v>
          </cell>
          <cell r="P66">
            <v>77.147857142857148</v>
          </cell>
          <cell r="R66">
            <v>73.30523809523811</v>
          </cell>
          <cell r="S66">
            <v>80.826190476190476</v>
          </cell>
        </row>
        <row r="67">
          <cell r="C67">
            <v>40422</v>
          </cell>
          <cell r="O67">
            <v>75.119523809523812</v>
          </cell>
          <cell r="P67">
            <v>77.794090909090897</v>
          </cell>
          <cell r="R67">
            <v>74.520476190476188</v>
          </cell>
          <cell r="S67">
            <v>80.577142857142874</v>
          </cell>
        </row>
        <row r="68">
          <cell r="C68">
            <v>40452</v>
          </cell>
          <cell r="O68">
            <v>80.216666666666669</v>
          </cell>
          <cell r="P68">
            <v>82.744285714285709</v>
          </cell>
          <cell r="R68">
            <v>82.965238095238092</v>
          </cell>
          <cell r="S68">
            <v>87.662380952380943</v>
          </cell>
        </row>
        <row r="69">
          <cell r="C69">
            <v>40483</v>
          </cell>
          <cell r="O69">
            <v>83.652250000000009</v>
          </cell>
          <cell r="P69">
            <v>85.325909090909079</v>
          </cell>
          <cell r="R69">
            <v>87.259500000000017</v>
          </cell>
          <cell r="S69">
            <v>91.15</v>
          </cell>
        </row>
        <row r="70">
          <cell r="C70">
            <v>40513</v>
          </cell>
          <cell r="O70">
            <v>89.048181818181789</v>
          </cell>
          <cell r="P70">
            <v>91.356190476190463</v>
          </cell>
          <cell r="R70">
            <v>93.832272727272724</v>
          </cell>
          <cell r="S70">
            <v>100.01681818181818</v>
          </cell>
        </row>
        <row r="71">
          <cell r="C71">
            <v>40544</v>
          </cell>
          <cell r="O71">
            <v>92.51600000000002</v>
          </cell>
          <cell r="P71">
            <v>96.539999999999992</v>
          </cell>
          <cell r="R71">
            <v>95.16</v>
          </cell>
          <cell r="S71">
            <v>104.3425</v>
          </cell>
        </row>
        <row r="72">
          <cell r="C72">
            <v>40575</v>
          </cell>
          <cell r="O72">
            <v>100.23916666666666</v>
          </cell>
          <cell r="P72">
            <v>103.75949999999997</v>
          </cell>
          <cell r="R72">
            <v>97.867777777777789</v>
          </cell>
          <cell r="S72">
            <v>109.62500000000001</v>
          </cell>
        </row>
        <row r="73">
          <cell r="C73">
            <v>40603</v>
          </cell>
          <cell r="O73">
            <v>108.70782608695652</v>
          </cell>
          <cell r="P73">
            <v>114.60000000000001</v>
          </cell>
          <cell r="R73">
            <v>107.82869565217391</v>
          </cell>
          <cell r="S73">
            <v>118.8695652173913</v>
          </cell>
        </row>
        <row r="74">
          <cell r="C74">
            <v>40634</v>
          </cell>
          <cell r="O74">
            <v>116.00475000000002</v>
          </cell>
          <cell r="P74">
            <v>123.48694444444446</v>
          </cell>
          <cell r="R74">
            <v>115.37750000000001</v>
          </cell>
          <cell r="S74">
            <v>127.85599999999999</v>
          </cell>
        </row>
        <row r="75">
          <cell r="C75">
            <v>40664</v>
          </cell>
          <cell r="O75">
            <v>108.37525000000001</v>
          </cell>
          <cell r="P75">
            <v>114.55374999999999</v>
          </cell>
          <cell r="R75">
            <v>108.3395</v>
          </cell>
          <cell r="S75">
            <v>121.68449999999999</v>
          </cell>
        </row>
        <row r="76">
          <cell r="C76">
            <v>40695</v>
          </cell>
          <cell r="O76">
            <v>107.7702272727273</v>
          </cell>
          <cell r="P76">
            <v>114.03772727272727</v>
          </cell>
          <cell r="R76">
            <v>101.89636363636363</v>
          </cell>
          <cell r="S76">
            <v>117.76454545454544</v>
          </cell>
        </row>
        <row r="77">
          <cell r="C77">
            <v>40725</v>
          </cell>
          <cell r="O77">
            <v>109.99285714285713</v>
          </cell>
          <cell r="P77">
            <v>116.88309523809524</v>
          </cell>
          <cell r="R77">
            <v>105.92</v>
          </cell>
          <cell r="S77">
            <v>123.38142857142859</v>
          </cell>
        </row>
        <row r="78">
          <cell r="C78">
            <v>40756</v>
          </cell>
          <cell r="O78">
            <v>105.01666666666667</v>
          </cell>
          <cell r="P78">
            <v>110.36977272727272</v>
          </cell>
          <cell r="R78">
            <v>103.00142857142856</v>
          </cell>
          <cell r="S78">
            <v>119.74952380952379</v>
          </cell>
        </row>
        <row r="79">
          <cell r="C79">
            <v>40787</v>
          </cell>
          <cell r="O79">
            <v>106.30477272727275</v>
          </cell>
          <cell r="P79">
            <v>113.12340909090909</v>
          </cell>
          <cell r="R79">
            <v>103.48545454545454</v>
          </cell>
          <cell r="S79">
            <v>122.06318181818182</v>
          </cell>
        </row>
        <row r="80">
          <cell r="C80">
            <v>40817</v>
          </cell>
          <cell r="O80">
            <v>103.95224999999998</v>
          </cell>
          <cell r="P80">
            <v>109.43357142857143</v>
          </cell>
          <cell r="R80">
            <v>96.188500000000005</v>
          </cell>
          <cell r="S80">
            <v>119.90299999999999</v>
          </cell>
        </row>
        <row r="81">
          <cell r="C81">
            <v>40848</v>
          </cell>
          <cell r="O81">
            <v>108.99976190476193</v>
          </cell>
          <cell r="P81">
            <v>110.6602272727273</v>
          </cell>
          <cell r="R81">
            <v>95.251428571428576</v>
          </cell>
          <cell r="S81">
            <v>111.17</v>
          </cell>
        </row>
        <row r="82">
          <cell r="C82">
            <v>40878</v>
          </cell>
          <cell r="O82">
            <v>106.4314285714286</v>
          </cell>
          <cell r="P82">
            <v>107.8335</v>
          </cell>
          <cell r="R82">
            <v>98.61476190476192</v>
          </cell>
          <cell r="S82">
            <v>111.49619047619048</v>
          </cell>
        </row>
        <row r="83">
          <cell r="C83">
            <v>40909</v>
          </cell>
          <cell r="O83">
            <v>109.80394736842103</v>
          </cell>
          <cell r="P83">
            <v>110.57976190476191</v>
          </cell>
          <cell r="R83">
            <v>104.81842105263158</v>
          </cell>
          <cell r="S83">
            <v>120.68684210526314</v>
          </cell>
        </row>
        <row r="84">
          <cell r="C84">
            <v>40940</v>
          </cell>
          <cell r="O84">
            <v>116.16428571428575</v>
          </cell>
          <cell r="P84">
            <v>119.55404761904761</v>
          </cell>
          <cell r="R84">
            <v>114.29428571428573</v>
          </cell>
          <cell r="S84">
            <v>128.62904761904761</v>
          </cell>
        </row>
        <row r="85">
          <cell r="C85">
            <v>40969</v>
          </cell>
          <cell r="O85">
            <v>122.46727272727276</v>
          </cell>
          <cell r="P85">
            <v>125.33272727272725</v>
          </cell>
          <cell r="R85">
            <v>119.32999999999998</v>
          </cell>
          <cell r="S85">
            <v>134.47772727272726</v>
          </cell>
        </row>
        <row r="86">
          <cell r="C86">
            <v>41000</v>
          </cell>
          <cell r="O86">
            <v>117.303</v>
          </cell>
          <cell r="P86">
            <v>119.53342105263157</v>
          </cell>
          <cell r="R86">
            <v>114.44400000000003</v>
          </cell>
          <cell r="S86">
            <v>131.36400000000003</v>
          </cell>
        </row>
        <row r="87">
          <cell r="C87">
            <v>41030</v>
          </cell>
          <cell r="O87">
            <v>107.31409090909091</v>
          </cell>
          <cell r="P87">
            <v>110.19749999999999</v>
          </cell>
          <cell r="R87">
            <v>98.398181818181811</v>
          </cell>
          <cell r="S87">
            <v>118.18681818181818</v>
          </cell>
        </row>
        <row r="88">
          <cell r="C88">
            <v>41061</v>
          </cell>
          <cell r="O88">
            <v>94.440238095238101</v>
          </cell>
          <cell r="P88">
            <v>94.840526315789461</v>
          </cell>
          <cell r="R88">
            <v>80.719523809523807</v>
          </cell>
          <cell r="S88">
            <v>101.15904761904763</v>
          </cell>
        </row>
        <row r="89">
          <cell r="C89">
            <v>41091</v>
          </cell>
          <cell r="O89">
            <v>99.145454545454541</v>
          </cell>
          <cell r="P89">
            <v>102.58749999999999</v>
          </cell>
          <cell r="R89">
            <v>91.130909090909086</v>
          </cell>
          <cell r="S89">
            <v>110.19363636363636</v>
          </cell>
        </row>
        <row r="90">
          <cell r="C90">
            <v>41122</v>
          </cell>
          <cell r="O90">
            <v>108.58809523809524</v>
          </cell>
          <cell r="P90">
            <v>113.36613636363633</v>
          </cell>
          <cell r="R90">
            <v>102.88952380952381</v>
          </cell>
          <cell r="S90">
            <v>123.78000000000003</v>
          </cell>
        </row>
        <row r="91">
          <cell r="C91">
            <v>41153</v>
          </cell>
          <cell r="O91">
            <v>111.21700000000001</v>
          </cell>
          <cell r="P91">
            <v>112.86225000000005</v>
          </cell>
          <cell r="R91">
            <v>106.806</v>
          </cell>
          <cell r="S91">
            <v>122.24700000000003</v>
          </cell>
        </row>
        <row r="92">
          <cell r="C92">
            <v>41183</v>
          </cell>
          <cell r="O92">
            <v>108.87045454545455</v>
          </cell>
          <cell r="P92">
            <v>111.60304347826084</v>
          </cell>
          <cell r="R92">
            <v>104.90954545454547</v>
          </cell>
          <cell r="S92">
            <v>120.42454545454548</v>
          </cell>
        </row>
        <row r="93">
          <cell r="C93">
            <v>41214</v>
          </cell>
          <cell r="O93">
            <v>107.2585714285714</v>
          </cell>
          <cell r="P93">
            <v>109.10863636363636</v>
          </cell>
          <cell r="R93">
            <v>102.64095238095236</v>
          </cell>
          <cell r="S93">
            <v>116.47190476190474</v>
          </cell>
        </row>
        <row r="94">
          <cell r="C94">
            <v>41244</v>
          </cell>
          <cell r="O94">
            <v>106.34</v>
          </cell>
          <cell r="P94">
            <v>109.35263157894735</v>
          </cell>
          <cell r="R94">
            <v>103.21399999999998</v>
          </cell>
          <cell r="S94">
            <v>115.89449999999997</v>
          </cell>
        </row>
        <row r="95">
          <cell r="C95">
            <v>41275</v>
          </cell>
          <cell r="O95">
            <v>107.93727272727273</v>
          </cell>
          <cell r="P95">
            <v>113.01068181818182</v>
          </cell>
          <cell r="R95">
            <v>105.55136363636365</v>
          </cell>
          <cell r="S95">
            <v>120.07</v>
          </cell>
        </row>
        <row r="96">
          <cell r="C96">
            <v>41306</v>
          </cell>
          <cell r="O96">
            <v>111.09472222222222</v>
          </cell>
          <cell r="P96">
            <v>116.28225</v>
          </cell>
          <cell r="R96">
            <v>111.88888888888889</v>
          </cell>
          <cell r="S96">
            <v>129.77499999999998</v>
          </cell>
        </row>
        <row r="97">
          <cell r="C97">
            <v>41334</v>
          </cell>
          <cell r="O97">
            <v>105.55249999999998</v>
          </cell>
          <cell r="P97">
            <v>108.36949999999999</v>
          </cell>
          <cell r="R97">
            <v>102.09150000000001</v>
          </cell>
          <cell r="S97">
            <v>120.77500000000001</v>
          </cell>
        </row>
        <row r="98">
          <cell r="C98">
            <v>41365</v>
          </cell>
          <cell r="O98">
            <v>101.6759090909091</v>
          </cell>
          <cell r="P98">
            <v>101.92047619047619</v>
          </cell>
          <cell r="R98">
            <v>93.426818181818177</v>
          </cell>
          <cell r="S98">
            <v>110.77045454545454</v>
          </cell>
        </row>
        <row r="99">
          <cell r="C99">
            <v>41395</v>
          </cell>
          <cell r="O99">
            <v>100.32619047619049</v>
          </cell>
          <cell r="P99">
            <v>102.48714285714284</v>
          </cell>
          <cell r="R99">
            <v>93.563333333333333</v>
          </cell>
          <cell r="S99">
            <v>111.08142857142859</v>
          </cell>
        </row>
        <row r="100">
          <cell r="C100">
            <v>41426</v>
          </cell>
          <cell r="O100">
            <v>100.32374999999999</v>
          </cell>
          <cell r="P100">
            <v>102.9135</v>
          </cell>
          <cell r="R100">
            <v>94.161000000000001</v>
          </cell>
          <cell r="S100">
            <v>114.75249999999998</v>
          </cell>
        </row>
        <row r="101">
          <cell r="C101">
            <v>41456</v>
          </cell>
          <cell r="O101">
            <v>103.52195652173914</v>
          </cell>
          <cell r="P101">
            <v>107.95282608695652</v>
          </cell>
          <cell r="R101">
            <v>97.697391304347846</v>
          </cell>
          <cell r="S101">
            <v>118.78521739130434</v>
          </cell>
        </row>
        <row r="102">
          <cell r="C102">
            <v>41487</v>
          </cell>
          <cell r="O102">
            <v>107.1075</v>
          </cell>
          <cell r="P102">
            <v>111.25238095238095</v>
          </cell>
          <cell r="R102">
            <v>101.0055</v>
          </cell>
          <cell r="S102">
            <v>114.66950000000001</v>
          </cell>
        </row>
        <row r="103">
          <cell r="C103">
            <v>41518</v>
          </cell>
          <cell r="O103">
            <v>108.27619047619051</v>
          </cell>
          <cell r="P103">
            <v>111.89357142857141</v>
          </cell>
          <cell r="R103">
            <v>102.76047619047618</v>
          </cell>
          <cell r="S103">
            <v>114.27619047619048</v>
          </cell>
        </row>
        <row r="104">
          <cell r="C104">
            <v>41548</v>
          </cell>
          <cell r="O104">
            <v>106.6363636363636</v>
          </cell>
          <cell r="P104">
            <v>109.04369565217392</v>
          </cell>
          <cell r="R104">
            <v>100.19818181818181</v>
          </cell>
          <cell r="S104">
            <v>111.60227272727271</v>
          </cell>
        </row>
        <row r="105">
          <cell r="C105">
            <v>41579</v>
          </cell>
          <cell r="O105">
            <v>105.94642857142856</v>
          </cell>
          <cell r="P105">
            <v>107.96595238095236</v>
          </cell>
          <cell r="R105">
            <v>103.68952380952381</v>
          </cell>
          <cell r="S105">
            <v>111.93904761904761</v>
          </cell>
        </row>
        <row r="106">
          <cell r="C106">
            <v>41609</v>
          </cell>
          <cell r="O106">
            <v>107.86333333333332</v>
          </cell>
          <cell r="P106">
            <v>110.81175</v>
          </cell>
          <cell r="R106">
            <v>107.59428571428569</v>
          </cell>
          <cell r="S106">
            <v>115.96571428571427</v>
          </cell>
        </row>
        <row r="107">
          <cell r="C107">
            <v>41640</v>
          </cell>
          <cell r="O107">
            <v>104.01976190476191</v>
          </cell>
          <cell r="P107">
            <v>108.25272727272728</v>
          </cell>
          <cell r="R107">
            <v>104.47333333333333</v>
          </cell>
          <cell r="S107">
            <v>114.65952380952385</v>
          </cell>
        </row>
        <row r="108">
          <cell r="C108">
            <v>41671</v>
          </cell>
          <cell r="O108">
            <v>105.0355</v>
          </cell>
          <cell r="P108">
            <v>108.86524999999999</v>
          </cell>
          <cell r="R108">
            <v>102.36750000000002</v>
          </cell>
          <cell r="S108">
            <v>116.6985</v>
          </cell>
        </row>
        <row r="109">
          <cell r="C109">
            <v>41699</v>
          </cell>
          <cell r="O109">
            <v>104.31642857142857</v>
          </cell>
          <cell r="P109">
            <v>107.54357142857143</v>
          </cell>
          <cell r="R109">
            <v>102.08190476190475</v>
          </cell>
          <cell r="S109">
            <v>116.52857142857142</v>
          </cell>
        </row>
        <row r="110">
          <cell r="C110">
            <v>41730</v>
          </cell>
          <cell r="O110">
            <v>104.68261904761906</v>
          </cell>
          <cell r="P110">
            <v>107.62775000000002</v>
          </cell>
          <cell r="R110">
            <v>103.9942857142857</v>
          </cell>
          <cell r="S110">
            <v>117.64428571428569</v>
          </cell>
        </row>
        <row r="111">
          <cell r="C111">
            <v>41760</v>
          </cell>
          <cell r="O111">
            <v>105.6645</v>
          </cell>
          <cell r="P111">
            <v>109.61399999999999</v>
          </cell>
          <cell r="R111">
            <v>105.3135</v>
          </cell>
          <cell r="S111">
            <v>117.95600000000002</v>
          </cell>
        </row>
        <row r="112">
          <cell r="C112">
            <v>41791</v>
          </cell>
          <cell r="O112">
            <v>108.03166666666667</v>
          </cell>
          <cell r="P112">
            <v>111.6540476190476</v>
          </cell>
          <cell r="R112">
            <v>106.1733333333333</v>
          </cell>
          <cell r="S112">
            <v>120.46190476190478</v>
          </cell>
        </row>
        <row r="113">
          <cell r="C113">
            <v>41821</v>
          </cell>
          <cell r="O113">
            <v>106.14909090909092</v>
          </cell>
          <cell r="P113">
            <v>106.63543478260868</v>
          </cell>
          <cell r="R113">
            <v>106.33909090909091</v>
          </cell>
          <cell r="S113">
            <v>119.78181818181817</v>
          </cell>
        </row>
        <row r="114">
          <cell r="C114">
            <v>41852</v>
          </cell>
          <cell r="O114">
            <v>101.73333333333333</v>
          </cell>
          <cell r="P114">
            <v>101.60725000000001</v>
          </cell>
          <cell r="R114">
            <v>98.870476190476197</v>
          </cell>
          <cell r="S114">
            <v>109.25809523809524</v>
          </cell>
        </row>
        <row r="115">
          <cell r="C115">
            <v>41883</v>
          </cell>
          <cell r="O115">
            <v>96.472499999999982</v>
          </cell>
          <cell r="P115">
            <v>97.297272727272727</v>
          </cell>
          <cell r="R115">
            <v>94.445909090909083</v>
          </cell>
          <cell r="S115">
            <v>108.60863636363638</v>
          </cell>
        </row>
        <row r="116">
          <cell r="C116">
            <v>41913</v>
          </cell>
          <cell r="O116">
            <v>86.626666666666679</v>
          </cell>
          <cell r="P116">
            <v>87.402608695652177</v>
          </cell>
          <cell r="R116">
            <v>79.794285714285721</v>
          </cell>
          <cell r="S116">
            <v>98.191904761904752</v>
          </cell>
        </row>
        <row r="117">
          <cell r="C117">
            <v>41944</v>
          </cell>
          <cell r="O117">
            <v>76.330250000000007</v>
          </cell>
          <cell r="P117">
            <v>78.893749999999983</v>
          </cell>
          <cell r="R117">
            <v>71.855500000000006</v>
          </cell>
          <cell r="S117">
            <v>87.9435</v>
          </cell>
        </row>
        <row r="118">
          <cell r="C118">
            <v>41974</v>
          </cell>
          <cell r="O118">
            <v>60.245000000000012</v>
          </cell>
          <cell r="P118">
            <v>62.526428571428553</v>
          </cell>
          <cell r="R118">
            <v>56.327619047619052</v>
          </cell>
          <cell r="S118">
            <v>69.579047619047628</v>
          </cell>
        </row>
        <row r="119">
          <cell r="C119">
            <v>42005</v>
          </cell>
          <cell r="O119">
            <v>45.574285714285715</v>
          </cell>
          <cell r="P119">
            <v>47.858809523809526</v>
          </cell>
          <cell r="R119">
            <v>45.234285714285718</v>
          </cell>
          <cell r="S119">
            <v>54.657619047619065</v>
          </cell>
        </row>
        <row r="120">
          <cell r="C120">
            <v>42036</v>
          </cell>
          <cell r="O120">
            <v>55.441388888888888</v>
          </cell>
          <cell r="P120">
            <v>58.131500000000003</v>
          </cell>
          <cell r="R120">
            <v>57.390555555555565</v>
          </cell>
          <cell r="S120">
            <v>67.063888888888897</v>
          </cell>
        </row>
        <row r="121">
          <cell r="C121">
            <v>42064</v>
          </cell>
          <cell r="O121">
            <v>54.657727272727286</v>
          </cell>
          <cell r="P121">
            <v>55.923863636363627</v>
          </cell>
          <cell r="R121">
            <v>57.384545454545446</v>
          </cell>
          <cell r="S121">
            <v>70.340909090909093</v>
          </cell>
        </row>
        <row r="122">
          <cell r="C122">
            <v>42095</v>
          </cell>
          <cell r="O122">
            <v>58.549523809523805</v>
          </cell>
          <cell r="P122">
            <v>59.762750000000004</v>
          </cell>
          <cell r="R122">
            <v>59.560952380952372</v>
          </cell>
          <cell r="S122">
            <v>73.074285714285708</v>
          </cell>
        </row>
        <row r="123">
          <cell r="C123">
            <v>42125</v>
          </cell>
          <cell r="O123">
            <v>63.557000000000002</v>
          </cell>
          <cell r="P123">
            <v>64.317894736842106</v>
          </cell>
          <cell r="R123">
            <v>62.03799999999999</v>
          </cell>
          <cell r="S123">
            <v>81.103000000000009</v>
          </cell>
        </row>
        <row r="124">
          <cell r="C124">
            <v>42156</v>
          </cell>
          <cell r="O124">
            <v>61.788095238095245</v>
          </cell>
          <cell r="P124">
            <v>61.685454545454554</v>
          </cell>
          <cell r="R124">
            <v>60.888571428571431</v>
          </cell>
          <cell r="S124">
            <v>81.021904761904764</v>
          </cell>
        </row>
        <row r="125">
          <cell r="C125">
            <v>42186</v>
          </cell>
          <cell r="O125">
            <v>56.167954545454535</v>
          </cell>
          <cell r="P125">
            <v>56.535869565217396</v>
          </cell>
          <cell r="R125">
            <v>53.1459090909091</v>
          </cell>
          <cell r="S125">
            <v>72.523181818181811</v>
          </cell>
        </row>
        <row r="126">
          <cell r="C126">
            <v>42217</v>
          </cell>
          <cell r="O126">
            <v>47.690789473684212</v>
          </cell>
          <cell r="P126">
            <v>46.643749999999997</v>
          </cell>
          <cell r="R126">
            <v>45.764210526315786</v>
          </cell>
          <cell r="S126">
            <v>61.954210526315798</v>
          </cell>
        </row>
        <row r="127">
          <cell r="C127">
            <v>42248</v>
          </cell>
          <cell r="O127">
            <v>45.375</v>
          </cell>
          <cell r="P127">
            <v>47.607727272727281</v>
          </cell>
          <cell r="R127">
            <v>46.804999999999993</v>
          </cell>
          <cell r="S127">
            <v>61.58700000000001</v>
          </cell>
        </row>
        <row r="128">
          <cell r="C128">
            <v>42278</v>
          </cell>
          <cell r="O128">
            <v>45.838636363636354</v>
          </cell>
          <cell r="P128">
            <v>48.560454545454554</v>
          </cell>
          <cell r="R128">
            <v>48.924545454545452</v>
          </cell>
          <cell r="S128">
            <v>60.550909090909094</v>
          </cell>
        </row>
        <row r="129">
          <cell r="C129">
            <v>42309</v>
          </cell>
          <cell r="O129">
            <v>41.691249999999997</v>
          </cell>
          <cell r="P129">
            <v>44.29404761904761</v>
          </cell>
          <cell r="R129">
            <v>48.945500000000003</v>
          </cell>
          <cell r="S129">
            <v>56.414999999999999</v>
          </cell>
        </row>
        <row r="130">
          <cell r="C130">
            <v>42339</v>
          </cell>
          <cell r="O130">
            <v>34.591363636363639</v>
          </cell>
          <cell r="P130">
            <v>38.21</v>
          </cell>
          <cell r="R130">
            <v>45.676363636363639</v>
          </cell>
          <cell r="S130">
            <v>52.837727272727278</v>
          </cell>
        </row>
        <row r="131">
          <cell r="C131">
            <v>42370</v>
          </cell>
          <cell r="O131">
            <v>26.809500000000003</v>
          </cell>
          <cell r="P131">
            <v>30.694249999999993</v>
          </cell>
          <cell r="R131">
            <v>36.601500000000001</v>
          </cell>
          <cell r="S131">
            <v>47.094999999999985</v>
          </cell>
        </row>
        <row r="132">
          <cell r="C132">
            <v>42401</v>
          </cell>
          <cell r="O132">
            <v>29.30263157894737</v>
          </cell>
          <cell r="P132">
            <v>32.478571428571421</v>
          </cell>
          <cell r="R132">
            <v>33.877894736842109</v>
          </cell>
          <cell r="S132">
            <v>41.404210526315786</v>
          </cell>
        </row>
        <row r="133">
          <cell r="C133">
            <v>42430</v>
          </cell>
          <cell r="O133">
            <v>35.141818181818174</v>
          </cell>
          <cell r="P133">
            <v>38.490238095238098</v>
          </cell>
          <cell r="R133">
            <v>39.004090909090905</v>
          </cell>
          <cell r="S133">
            <v>49.623636363636365</v>
          </cell>
        </row>
        <row r="134">
          <cell r="C134">
            <v>42461</v>
          </cell>
          <cell r="O134">
            <v>39.028095238095247</v>
          </cell>
          <cell r="P134">
            <v>41.481666666666669</v>
          </cell>
          <cell r="R134">
            <v>42.356666666666669</v>
          </cell>
          <cell r="S134">
            <v>51.503809523809529</v>
          </cell>
        </row>
        <row r="135">
          <cell r="C135">
            <v>42491</v>
          </cell>
          <cell r="O135">
            <v>44.268571428571427</v>
          </cell>
          <cell r="P135">
            <v>46.875249999999994</v>
          </cell>
          <cell r="R135">
            <v>44.036666666666676</v>
          </cell>
          <cell r="S135">
            <v>56.022380952380942</v>
          </cell>
        </row>
        <row r="136">
          <cell r="C136">
            <v>42522</v>
          </cell>
          <cell r="O136">
            <v>46.255909090909093</v>
          </cell>
          <cell r="P136">
            <v>48.339318181818179</v>
          </cell>
          <cell r="R136">
            <v>45.359090909090902</v>
          </cell>
          <cell r="S136">
            <v>56.516818181818167</v>
          </cell>
        </row>
        <row r="137">
          <cell r="C137">
            <v>42552</v>
          </cell>
          <cell r="O137">
            <v>42.464500000000001</v>
          </cell>
          <cell r="P137">
            <v>45.101428571428571</v>
          </cell>
          <cell r="R137">
            <v>41.630999999999993</v>
          </cell>
          <cell r="S137">
            <v>49.471500000000006</v>
          </cell>
        </row>
        <row r="138">
          <cell r="C138">
            <v>42583</v>
          </cell>
          <cell r="O138">
            <v>43.702272727272728</v>
          </cell>
          <cell r="P138">
            <v>45.771590909090904</v>
          </cell>
          <cell r="R138">
            <v>39.857727272727281</v>
          </cell>
          <cell r="S138">
            <v>51.573636363636368</v>
          </cell>
        </row>
        <row r="139">
          <cell r="C139">
            <v>42614</v>
          </cell>
          <cell r="O139">
            <v>43.329523809523813</v>
          </cell>
          <cell r="P139">
            <v>46.669318181818177</v>
          </cell>
          <cell r="R139">
            <v>42.395238095238106</v>
          </cell>
          <cell r="S139">
            <v>55.433333333333337</v>
          </cell>
        </row>
        <row r="140">
          <cell r="C140">
            <v>42644</v>
          </cell>
          <cell r="O140">
            <v>48.984523809523822</v>
          </cell>
          <cell r="P140">
            <v>49.662142857142854</v>
          </cell>
          <cell r="R140">
            <v>47.552857142857135</v>
          </cell>
          <cell r="S140">
            <v>60.083809523809521</v>
          </cell>
        </row>
        <row r="141">
          <cell r="C141">
            <v>42675</v>
          </cell>
          <cell r="O141">
            <v>43.864545454545457</v>
          </cell>
          <cell r="P141">
            <v>45.126136363636363</v>
          </cell>
          <cell r="R141">
            <v>46.68636363636363</v>
          </cell>
          <cell r="S141">
            <v>56.49454545454546</v>
          </cell>
        </row>
        <row r="142">
          <cell r="C142">
            <v>42705</v>
          </cell>
          <cell r="O142">
            <v>52.097619047619048</v>
          </cell>
          <cell r="P142">
            <v>53.595999999999989</v>
          </cell>
          <cell r="R142">
            <v>51.287142857142847</v>
          </cell>
          <cell r="S142">
            <v>64.32380952380953</v>
          </cell>
        </row>
        <row r="143">
          <cell r="C143">
            <v>42736</v>
          </cell>
          <cell r="O143">
            <v>53.716499999999996</v>
          </cell>
          <cell r="P143">
            <v>54.670714285714276</v>
          </cell>
          <cell r="R143">
            <v>55.512</v>
          </cell>
          <cell r="S143">
            <v>66.775000000000006</v>
          </cell>
        </row>
        <row r="144">
          <cell r="C144">
            <v>42767</v>
          </cell>
          <cell r="O144">
            <v>54.439499999999995</v>
          </cell>
          <cell r="P144">
            <v>55.111999999999988</v>
          </cell>
          <cell r="R144">
            <v>56.493999999999993</v>
          </cell>
          <cell r="S144">
            <v>67.5685</v>
          </cell>
        </row>
        <row r="145">
          <cell r="C145">
            <v>42795</v>
          </cell>
          <cell r="O145">
            <v>51.201304347826103</v>
          </cell>
          <cell r="P145">
            <v>51.564130434782612</v>
          </cell>
          <cell r="R145">
            <v>50.660434782608689</v>
          </cell>
          <cell r="S145">
            <v>61.941739130434776</v>
          </cell>
        </row>
        <row r="146">
          <cell r="C146">
            <v>42826</v>
          </cell>
          <cell r="O146">
            <v>52.292631578947351</v>
          </cell>
          <cell r="P146">
            <v>52.534722222222214</v>
          </cell>
          <cell r="R146">
            <v>52.156842105263159</v>
          </cell>
          <cell r="S146">
            <v>64.808421052631587</v>
          </cell>
        </row>
        <row r="147">
          <cell r="C147">
            <v>42856</v>
          </cell>
          <cell r="O147">
            <v>50.536904761904744</v>
          </cell>
          <cell r="P147">
            <v>50.426190476190477</v>
          </cell>
          <cell r="R147">
            <v>48.555238095238096</v>
          </cell>
          <cell r="S147">
            <v>61.673333333333318</v>
          </cell>
        </row>
        <row r="148">
          <cell r="C148">
            <v>42887</v>
          </cell>
          <cell r="O148">
            <v>46.472380952380959</v>
          </cell>
          <cell r="P148">
            <v>46.522727272727273</v>
          </cell>
          <cell r="R148">
            <v>44.79666666666666</v>
          </cell>
          <cell r="S148">
            <v>57.407619047619043</v>
          </cell>
        </row>
        <row r="149">
          <cell r="C149">
            <v>42917</v>
          </cell>
          <cell r="O149">
            <v>47.568809523809534</v>
          </cell>
          <cell r="P149">
            <v>48.56428571428571</v>
          </cell>
          <cell r="R149">
            <v>45.688571428571422</v>
          </cell>
          <cell r="S149">
            <v>59.042857142857144</v>
          </cell>
        </row>
        <row r="150">
          <cell r="C150">
            <v>42948</v>
          </cell>
          <cell r="O150">
            <v>50.222954545454556</v>
          </cell>
          <cell r="P150">
            <v>51.641590909090901</v>
          </cell>
          <cell r="R150">
            <v>50.325454545454548</v>
          </cell>
          <cell r="S150">
            <v>64.700909090909093</v>
          </cell>
        </row>
        <row r="151">
          <cell r="C151">
            <v>42979</v>
          </cell>
          <cell r="O151">
            <v>53.668499999999995</v>
          </cell>
          <cell r="P151">
            <v>56.046428571428564</v>
          </cell>
          <cell r="R151">
            <v>54.911500000000004</v>
          </cell>
          <cell r="S151">
            <v>67.581500000000005</v>
          </cell>
        </row>
        <row r="152">
          <cell r="C152">
            <v>43009</v>
          </cell>
          <cell r="O152">
            <v>55.548095238095229</v>
          </cell>
          <cell r="P152">
            <v>57.363636363636367</v>
          </cell>
          <cell r="R152">
            <v>57.581428571428582</v>
          </cell>
          <cell r="S152">
            <v>67.40285714285713</v>
          </cell>
        </row>
        <row r="153">
          <cell r="C153">
            <v>43040</v>
          </cell>
          <cell r="O153">
            <v>60.817727272727275</v>
          </cell>
          <cell r="P153">
            <v>62.615454545454547</v>
          </cell>
          <cell r="R153">
            <v>64.417727272727276</v>
          </cell>
          <cell r="S153">
            <v>73.080909090909117</v>
          </cell>
        </row>
        <row r="154">
          <cell r="C154">
            <v>43070</v>
          </cell>
          <cell r="O154">
            <v>61.597749999999998</v>
          </cell>
          <cell r="P154">
            <v>64.191578947368427</v>
          </cell>
          <cell r="R154">
            <v>65.012500000000003</v>
          </cell>
          <cell r="S154">
            <v>73.256499999999988</v>
          </cell>
        </row>
        <row r="155">
          <cell r="C155">
            <v>43101</v>
          </cell>
          <cell r="O155">
            <v>66.189318181818166</v>
          </cell>
          <cell r="P155">
            <v>69.176363636363618</v>
          </cell>
          <cell r="R155">
            <v>66.134090909090915</v>
          </cell>
          <cell r="S155">
            <v>76.665909090909082</v>
          </cell>
        </row>
        <row r="156">
          <cell r="C156">
            <v>43132</v>
          </cell>
          <cell r="O156">
            <v>62.720789473684206</v>
          </cell>
          <cell r="P156">
            <v>65.190750000000008</v>
          </cell>
          <cell r="R156">
            <v>61.23368421052632</v>
          </cell>
          <cell r="S156">
            <v>74.16</v>
          </cell>
        </row>
        <row r="157">
          <cell r="C157">
            <v>43160</v>
          </cell>
          <cell r="O157">
            <v>62.734999999999999</v>
          </cell>
          <cell r="P157">
            <v>65.902619047619027</v>
          </cell>
          <cell r="R157">
            <v>62.896666666666661</v>
          </cell>
          <cell r="S157">
            <v>74.254761904761892</v>
          </cell>
        </row>
        <row r="158">
          <cell r="C158">
            <v>43191</v>
          </cell>
          <cell r="O158">
            <v>68.270714285714277</v>
          </cell>
          <cell r="P158">
            <v>71.800999999999988</v>
          </cell>
          <cell r="R158">
            <v>66.870952380952374</v>
          </cell>
          <cell r="S158">
            <v>78.431428571428569</v>
          </cell>
        </row>
        <row r="159">
          <cell r="C159">
            <v>43221</v>
          </cell>
          <cell r="O159">
            <v>74.412619047619046</v>
          </cell>
          <cell r="P159">
            <v>76.929999999999993</v>
          </cell>
          <cell r="R159">
            <v>74.52000000000001</v>
          </cell>
          <cell r="S159">
            <v>85.308095238095234</v>
          </cell>
        </row>
        <row r="160">
          <cell r="C160">
            <v>43252</v>
          </cell>
          <cell r="O160">
            <v>73.591500000000011</v>
          </cell>
          <cell r="P160">
            <v>74.325476190476209</v>
          </cell>
          <cell r="R160">
            <v>70.664000000000001</v>
          </cell>
          <cell r="S160">
            <v>81.518499999999989</v>
          </cell>
        </row>
        <row r="161">
          <cell r="C161">
            <v>43282</v>
          </cell>
          <cell r="O161">
            <v>73.120454545454564</v>
          </cell>
          <cell r="P161">
            <v>74.348181818181814</v>
          </cell>
          <cell r="R161">
            <v>72.08590909090907</v>
          </cell>
          <cell r="S161">
            <v>81.119090909090914</v>
          </cell>
        </row>
        <row r="162">
          <cell r="C162">
            <v>43313</v>
          </cell>
          <cell r="O162">
            <v>72.487142857142842</v>
          </cell>
          <cell r="P162">
            <v>72.621136363636367</v>
          </cell>
          <cell r="R162">
            <v>71.572857142857146</v>
          </cell>
          <cell r="S162">
            <v>82.44</v>
          </cell>
        </row>
        <row r="163">
          <cell r="C163">
            <v>43344</v>
          </cell>
          <cell r="O163">
            <v>77.247250000000008</v>
          </cell>
          <cell r="P163">
            <v>78.853249999999989</v>
          </cell>
          <cell r="R163">
            <v>75.201999999999998</v>
          </cell>
          <cell r="S163">
            <v>87.528500000000022</v>
          </cell>
        </row>
        <row r="164">
          <cell r="C164">
            <v>43374</v>
          </cell>
          <cell r="O164">
            <v>79.388043478260883</v>
          </cell>
          <cell r="P164">
            <v>81.153913043478255</v>
          </cell>
          <cell r="R164">
            <v>74.684347826086963</v>
          </cell>
          <cell r="S164">
            <v>85.667826086956538</v>
          </cell>
        </row>
        <row r="165">
          <cell r="C165">
            <v>43405</v>
          </cell>
          <cell r="O165">
            <v>65.560714285714283</v>
          </cell>
          <cell r="P165">
            <v>64.739772727272737</v>
          </cell>
          <cell r="R165">
            <v>56.761904761904773</v>
          </cell>
          <cell r="S165">
            <v>66.933809523809529</v>
          </cell>
        </row>
        <row r="166">
          <cell r="C166">
            <v>43435</v>
          </cell>
          <cell r="O166">
            <v>57.317777777777778</v>
          </cell>
          <cell r="P166">
            <v>57.387352941176481</v>
          </cell>
          <cell r="R166">
            <v>51.757777777777783</v>
          </cell>
          <cell r="S166">
            <v>57.957222222222221</v>
          </cell>
        </row>
        <row r="167">
          <cell r="C167">
            <v>43466</v>
          </cell>
          <cell r="O167">
            <v>59.080227272727278</v>
          </cell>
          <cell r="P167">
            <v>59.459090909090904</v>
          </cell>
          <cell r="R167">
            <v>51.657727272727286</v>
          </cell>
          <cell r="S167">
            <v>59.128181818181815</v>
          </cell>
        </row>
        <row r="168">
          <cell r="C168">
            <v>43497</v>
          </cell>
          <cell r="O168">
            <v>64.574722222222235</v>
          </cell>
          <cell r="P168">
            <v>64.031999999999996</v>
          </cell>
          <cell r="R168">
            <v>56.396666666666675</v>
          </cell>
          <cell r="S168">
            <v>64.38</v>
          </cell>
        </row>
        <row r="169">
          <cell r="C169">
            <v>43525</v>
          </cell>
          <cell r="O169">
            <v>66.934047619047618</v>
          </cell>
          <cell r="P169">
            <v>66.121904761904759</v>
          </cell>
          <cell r="R169">
            <v>60.034285714285716</v>
          </cell>
          <cell r="S169">
            <v>72.830000000000013</v>
          </cell>
        </row>
        <row r="170">
          <cell r="C170">
            <v>43556</v>
          </cell>
          <cell r="O170">
            <v>70.950476190476195</v>
          </cell>
          <cell r="P170">
            <v>71.257999999999996</v>
          </cell>
          <cell r="R170">
            <v>63.220000000000006</v>
          </cell>
          <cell r="S170">
            <v>78.832857142857151</v>
          </cell>
        </row>
        <row r="171">
          <cell r="C171">
            <v>43586</v>
          </cell>
          <cell r="O171">
            <v>69.374999999999986</v>
          </cell>
          <cell r="P171">
            <v>71.117857142857133</v>
          </cell>
          <cell r="R171">
            <v>59.941904761904773</v>
          </cell>
          <cell r="S171">
            <v>74.492380952380969</v>
          </cell>
        </row>
        <row r="172">
          <cell r="C172">
            <v>43617</v>
          </cell>
          <cell r="O172">
            <v>61.758947368421083</v>
          </cell>
          <cell r="P172">
            <v>64.094999999999999</v>
          </cell>
          <cell r="R172">
            <v>51.647368421052633</v>
          </cell>
          <cell r="S172">
            <v>65.865263157894745</v>
          </cell>
        </row>
        <row r="173">
          <cell r="C173">
            <v>43647</v>
          </cell>
          <cell r="O173">
            <v>63.253695652173917</v>
          </cell>
          <cell r="P173">
            <v>64.041521739130431</v>
          </cell>
          <cell r="R173">
            <v>55.557391304347846</v>
          </cell>
          <cell r="S173">
            <v>71.096086956521745</v>
          </cell>
        </row>
        <row r="174">
          <cell r="C174">
            <v>43678</v>
          </cell>
          <cell r="O174">
            <v>59.105499999999985</v>
          </cell>
          <cell r="P174">
            <v>58.994999999999997</v>
          </cell>
          <cell r="R174">
            <v>50.541499999999999</v>
          </cell>
          <cell r="S174">
            <v>66.576000000000008</v>
          </cell>
        </row>
        <row r="175">
          <cell r="C175">
            <v>43709</v>
          </cell>
          <cell r="O175">
            <v>61.115000000000009</v>
          </cell>
          <cell r="P175">
            <v>62.770476190476195</v>
          </cell>
          <cell r="R175">
            <v>54.030000000000008</v>
          </cell>
          <cell r="S175">
            <v>69.500952380952384</v>
          </cell>
        </row>
        <row r="176">
          <cell r="C176">
            <v>43739</v>
          </cell>
          <cell r="O176">
            <v>59.368636363636369</v>
          </cell>
          <cell r="P176">
            <v>59.721086956521752</v>
          </cell>
          <cell r="R176">
            <v>56.816818181818171</v>
          </cell>
          <cell r="S176">
            <v>68.143636363636347</v>
          </cell>
        </row>
        <row r="177">
          <cell r="C177">
            <v>43770</v>
          </cell>
          <cell r="O177">
            <v>61.974285714285713</v>
          </cell>
          <cell r="P177">
            <v>63.015952380952371</v>
          </cell>
          <cell r="R177">
            <v>59.467619047619046</v>
          </cell>
          <cell r="S177">
            <v>71.328571428571436</v>
          </cell>
        </row>
        <row r="178">
          <cell r="C178">
            <v>43800</v>
          </cell>
          <cell r="O178">
            <v>64.888571428571439</v>
          </cell>
          <cell r="P178">
            <v>67.024500000000018</v>
          </cell>
          <cell r="R178">
            <v>63.462380952380933</v>
          </cell>
          <cell r="S178">
            <v>71.293333333333322</v>
          </cell>
        </row>
        <row r="179">
          <cell r="C179">
            <v>43831</v>
          </cell>
          <cell r="O179">
            <v>64.286428571428573</v>
          </cell>
          <cell r="P179">
            <v>63.50477272727273</v>
          </cell>
          <cell r="R179">
            <v>60.874285714285719</v>
          </cell>
          <cell r="S179">
            <v>69.110476190476192</v>
          </cell>
        </row>
        <row r="180">
          <cell r="C180">
            <v>43862</v>
          </cell>
          <cell r="O180">
            <v>54.218999999999994</v>
          </cell>
          <cell r="P180">
            <v>55.441250000000011</v>
          </cell>
          <cell r="R180">
            <v>52.318000000000005</v>
          </cell>
          <cell r="S180">
            <v>62.566999999999993</v>
          </cell>
        </row>
        <row r="181">
          <cell r="C181">
            <v>43891</v>
          </cell>
          <cell r="O181">
            <v>33.700227272727282</v>
          </cell>
          <cell r="P181">
            <v>31.829090909090905</v>
          </cell>
          <cell r="R181">
            <v>30.272727272727277</v>
          </cell>
          <cell r="S181">
            <v>35.192272727272723</v>
          </cell>
        </row>
        <row r="182">
          <cell r="C182">
            <v>43922</v>
          </cell>
          <cell r="O182">
            <v>20.386666666666667</v>
          </cell>
          <cell r="P182">
            <v>18.545249999999999</v>
          </cell>
          <cell r="R182">
            <v>17.303809523809527</v>
          </cell>
          <cell r="S182">
            <v>19.44142857142857</v>
          </cell>
        </row>
        <row r="183">
          <cell r="C183">
            <v>43952</v>
          </cell>
          <cell r="O183">
            <v>30.466944444444451</v>
          </cell>
          <cell r="P183">
            <v>28.978684210526318</v>
          </cell>
          <cell r="R183">
            <v>26.298888888888893</v>
          </cell>
          <cell r="S183">
            <v>30.834999999999997</v>
          </cell>
        </row>
        <row r="184">
          <cell r="C184">
            <v>43983</v>
          </cell>
          <cell r="O184">
            <v>40.790909090909082</v>
          </cell>
          <cell r="P184">
            <v>40.064999999999998</v>
          </cell>
          <cell r="R184">
            <v>38.973181818181821</v>
          </cell>
          <cell r="S184">
            <v>42.790909090909082</v>
          </cell>
        </row>
        <row r="185">
          <cell r="C185">
            <v>44013</v>
          </cell>
          <cell r="O185">
            <v>43.278333333333343</v>
          </cell>
          <cell r="P185">
            <v>43.354782608695658</v>
          </cell>
          <cell r="R185">
            <v>43.469523809523814</v>
          </cell>
          <cell r="S185">
            <v>44.795714285714283</v>
          </cell>
        </row>
        <row r="186">
          <cell r="C186">
            <v>44044</v>
          </cell>
          <cell r="O186">
            <v>43.987250000000003</v>
          </cell>
          <cell r="P186">
            <v>44.823999999999998</v>
          </cell>
          <cell r="R186">
            <v>42.900000000000013</v>
          </cell>
          <cell r="S186">
            <v>46.968499999999992</v>
          </cell>
        </row>
        <row r="187">
          <cell r="C187">
            <v>44075</v>
          </cell>
          <cell r="O187">
            <v>41.495227272727277</v>
          </cell>
          <cell r="P187">
            <v>40.808181818181815</v>
          </cell>
          <cell r="R187">
            <v>42.988181818181822</v>
          </cell>
          <cell r="S187">
            <v>45.664545454545461</v>
          </cell>
        </row>
        <row r="188">
          <cell r="C188">
            <v>44105</v>
          </cell>
          <cell r="O188">
            <v>40.661136363636366</v>
          </cell>
          <cell r="P188">
            <v>40.153636363636366</v>
          </cell>
          <cell r="R188">
            <v>41.730000000000004</v>
          </cell>
          <cell r="S188">
            <v>44.822727272727271</v>
          </cell>
        </row>
        <row r="189">
          <cell r="C189">
            <v>44136</v>
          </cell>
          <cell r="O189">
            <v>43.394047619047626</v>
          </cell>
          <cell r="P189">
            <v>42.663571428571437</v>
          </cell>
          <cell r="R189">
            <v>40.547142857142866</v>
          </cell>
          <cell r="S189">
            <v>45.516190476190474</v>
          </cell>
        </row>
        <row r="190">
          <cell r="C190">
            <v>44166</v>
          </cell>
          <cell r="O190">
            <v>49.81522727272727</v>
          </cell>
          <cell r="P190">
            <v>49.862142857142857</v>
          </cell>
          <cell r="R190">
            <v>47.59</v>
          </cell>
          <cell r="S190">
            <v>52.414090909090902</v>
          </cell>
        </row>
        <row r="191">
          <cell r="C191">
            <v>44197</v>
          </cell>
          <cell r="O191">
            <v>54.772000000000006</v>
          </cell>
          <cell r="P191">
            <v>54.843250000000012</v>
          </cell>
          <cell r="R191">
            <v>55.584000000000003</v>
          </cell>
          <cell r="S191">
            <v>58.914500000000011</v>
          </cell>
        </row>
        <row r="192">
          <cell r="C192">
            <v>44228</v>
          </cell>
          <cell r="O192">
            <v>60.854999999999997</v>
          </cell>
          <cell r="P192">
            <v>62.222000000000001</v>
          </cell>
          <cell r="R192">
            <v>61.602631578947374</v>
          </cell>
          <cell r="S192">
            <v>66.363157894736844</v>
          </cell>
        </row>
        <row r="193">
          <cell r="C193">
            <v>44256</v>
          </cell>
          <cell r="O193">
            <v>64.414347826086953</v>
          </cell>
          <cell r="P193">
            <v>65.626086956521746</v>
          </cell>
          <cell r="R193">
            <v>64.763913043478254</v>
          </cell>
          <cell r="S193">
            <v>71.510869565217405</v>
          </cell>
        </row>
        <row r="194">
          <cell r="C194">
            <v>44287</v>
          </cell>
          <cell r="O194">
            <v>62.894285714285715</v>
          </cell>
          <cell r="P194">
            <v>64.695750000000004</v>
          </cell>
          <cell r="R194">
            <v>62.150476190476198</v>
          </cell>
          <cell r="S194">
            <v>71.696666666666673</v>
          </cell>
        </row>
        <row r="195">
          <cell r="C195">
            <v>44317</v>
          </cell>
          <cell r="O195">
            <v>66.314473684210526</v>
          </cell>
          <cell r="P195">
            <v>68.745789473684212</v>
          </cell>
          <cell r="R195">
            <v>65.632631578947382</v>
          </cell>
          <cell r="S195">
            <v>74.417368421052629</v>
          </cell>
        </row>
        <row r="196">
          <cell r="C196">
            <v>44348</v>
          </cell>
          <cell r="O196">
            <v>71.572954545454536</v>
          </cell>
          <cell r="P196">
            <v>73.042272727272731</v>
          </cell>
          <cell r="R196">
            <v>70.49136363636363</v>
          </cell>
          <cell r="S196">
            <v>78.853181818181824</v>
          </cell>
        </row>
        <row r="197">
          <cell r="C197">
            <v>44378</v>
          </cell>
          <cell r="O197">
            <v>72.902857142857158</v>
          </cell>
          <cell r="P197">
            <v>75.029545454545456</v>
          </cell>
          <cell r="R197">
            <v>75.46142857142857</v>
          </cell>
          <cell r="S197">
            <v>83.099047619047624</v>
          </cell>
        </row>
        <row r="198">
          <cell r="C198">
            <v>44409</v>
          </cell>
          <cell r="O198">
            <v>69.484999999999999</v>
          </cell>
          <cell r="P198">
            <v>70.810952380952386</v>
          </cell>
          <cell r="R198">
            <v>70.713333333333324</v>
          </cell>
          <cell r="S198">
            <v>78.916190476190465</v>
          </cell>
        </row>
        <row r="199">
          <cell r="C199">
            <v>44440</v>
          </cell>
          <cell r="O199">
            <v>72.607954545454547</v>
          </cell>
          <cell r="P199">
            <v>74.57568181818182</v>
          </cell>
          <cell r="R199">
            <v>74.99318181818181</v>
          </cell>
          <cell r="S199">
            <v>82.08454545454542</v>
          </cell>
        </row>
        <row r="200">
          <cell r="C200">
            <v>44470</v>
          </cell>
          <cell r="O200">
            <v>81.585476190476186</v>
          </cell>
          <cell r="P200">
            <v>83.663095238095252</v>
          </cell>
          <cell r="R200">
            <v>84.226666666666674</v>
          </cell>
          <cell r="S200">
            <v>95.765238095238061</v>
          </cell>
        </row>
        <row r="201">
          <cell r="C201">
            <v>44501</v>
          </cell>
          <cell r="O201">
            <v>80.276428571428582</v>
          </cell>
          <cell r="P201">
            <v>81.441363636363633</v>
          </cell>
          <cell r="R201">
            <v>84.001904761904754</v>
          </cell>
          <cell r="S201">
            <v>92.184285714285707</v>
          </cell>
        </row>
        <row r="202">
          <cell r="C202">
            <v>44531</v>
          </cell>
          <cell r="O202">
            <v>73.185454545454547</v>
          </cell>
          <cell r="P202">
            <v>74.09571428571428</v>
          </cell>
          <cell r="R202">
            <v>77.601363636363658</v>
          </cell>
          <cell r="S202">
            <v>85.669090909090897</v>
          </cell>
        </row>
        <row r="203">
          <cell r="C203">
            <v>44562</v>
          </cell>
          <cell r="O203">
            <v>83.455238095238087</v>
          </cell>
          <cell r="P203">
            <v>87.219250000000017</v>
          </cell>
          <cell r="R203">
            <v>84.392857142857125</v>
          </cell>
          <cell r="S203">
            <v>96.163333333333341</v>
          </cell>
        </row>
        <row r="204">
          <cell r="C204">
            <v>44593</v>
          </cell>
          <cell r="O204">
            <v>92.34</v>
          </cell>
          <cell r="P204">
            <v>98.185249999999996</v>
          </cell>
          <cell r="R204">
            <v>95.453333333333319</v>
          </cell>
          <cell r="S204">
            <v>108.29055555555556</v>
          </cell>
        </row>
        <row r="205">
          <cell r="C205">
            <v>44621</v>
          </cell>
          <cell r="O205">
            <v>110.89369565217393</v>
          </cell>
          <cell r="P205">
            <v>118.80956521739128</v>
          </cell>
          <cell r="R205">
            <v>110.53739130434785</v>
          </cell>
          <cell r="S205">
            <v>127.43521739130436</v>
          </cell>
        </row>
        <row r="206">
          <cell r="C206">
            <v>44652</v>
          </cell>
          <cell r="O206">
            <v>102.78625</v>
          </cell>
          <cell r="P206">
            <v>104.38894736842109</v>
          </cell>
          <cell r="R206">
            <v>96.524499999999989</v>
          </cell>
          <cell r="S206">
            <v>123.50250000000001</v>
          </cell>
        </row>
        <row r="207">
          <cell r="C207">
            <v>44682</v>
          </cell>
          <cell r="O207">
            <v>108.13184210526316</v>
          </cell>
          <cell r="P207">
            <v>113.25166666666668</v>
          </cell>
          <cell r="R207">
            <v>94.654736842105265</v>
          </cell>
          <cell r="S207">
            <v>141.18210526315792</v>
          </cell>
        </row>
        <row r="208">
          <cell r="C208">
            <v>44713</v>
          </cell>
          <cell r="O208">
            <v>113.24181818181818</v>
          </cell>
          <cell r="P208">
            <v>123.70175000000002</v>
          </cell>
          <cell r="R208">
            <v>84.308636363636353</v>
          </cell>
          <cell r="S208">
            <v>148.81772727272727</v>
          </cell>
        </row>
        <row r="209">
          <cell r="C209">
            <v>44743</v>
          </cell>
          <cell r="O209">
            <v>103.12325000000001</v>
          </cell>
          <cell r="P209">
            <v>112.69547619047621</v>
          </cell>
          <cell r="R209">
            <v>81.605500000000006</v>
          </cell>
          <cell r="S209">
            <v>116.53399999999999</v>
          </cell>
        </row>
        <row r="210">
          <cell r="C210">
            <v>44774</v>
          </cell>
          <cell r="O210">
            <v>96.600909090909099</v>
          </cell>
          <cell r="P210">
            <v>99.993636363636384</v>
          </cell>
          <cell r="R210">
            <v>71.906363636363622</v>
          </cell>
          <cell r="S210">
            <v>107.15863636363635</v>
          </cell>
        </row>
        <row r="211">
          <cell r="C211">
            <v>44805</v>
          </cell>
          <cell r="O211">
            <v>90.910909090909072</v>
          </cell>
          <cell r="P211">
            <v>89.867142857142881</v>
          </cell>
          <cell r="R211">
            <v>67.026818181818172</v>
          </cell>
          <cell r="S211">
            <v>93.783636363636347</v>
          </cell>
        </row>
        <row r="212">
          <cell r="C212">
            <v>44835</v>
          </cell>
          <cell r="O212">
            <v>91.13</v>
          </cell>
          <cell r="P212">
            <v>93.331666666666663</v>
          </cell>
          <cell r="R212">
            <v>71.348000000000013</v>
          </cell>
          <cell r="S212">
            <v>91.18950000000001</v>
          </cell>
        </row>
        <row r="213">
          <cell r="C213">
            <v>44866</v>
          </cell>
          <cell r="O213">
            <v>86.222499999999997</v>
          </cell>
          <cell r="P213">
            <v>91.672954545454544</v>
          </cell>
          <cell r="R213">
            <v>73.718181818181819</v>
          </cell>
          <cell r="S213">
            <v>93.13045454545454</v>
          </cell>
        </row>
        <row r="214">
          <cell r="C214">
            <v>44896</v>
          </cell>
          <cell r="O214">
            <v>77.196428571428555</v>
          </cell>
          <cell r="P214">
            <v>81.115250000000017</v>
          </cell>
          <cell r="R214">
            <v>65.681904761904761</v>
          </cell>
          <cell r="S214">
            <v>85.454285714285717</v>
          </cell>
        </row>
        <row r="215">
          <cell r="C215">
            <v>44927</v>
          </cell>
          <cell r="O215">
            <v>80.380526315789481</v>
          </cell>
          <cell r="P215">
            <v>82.776904761904774</v>
          </cell>
          <cell r="R215">
            <v>72.325789473684196</v>
          </cell>
          <cell r="S215">
            <v>95.587894736842102</v>
          </cell>
        </row>
        <row r="216">
          <cell r="C216">
            <v>44958</v>
          </cell>
          <cell r="O216">
            <v>82.085250000000002</v>
          </cell>
          <cell r="P216">
            <v>82.48599999999999</v>
          </cell>
          <cell r="R216">
            <v>76.428500000000014</v>
          </cell>
          <cell r="S216">
            <v>95.966000000000008</v>
          </cell>
        </row>
        <row r="217">
          <cell r="C217">
            <v>44986</v>
          </cell>
          <cell r="O217">
            <v>78.493260869565205</v>
          </cell>
          <cell r="P217">
            <v>78.559782608695656</v>
          </cell>
          <cell r="R217">
            <v>72.713913043478257</v>
          </cell>
          <cell r="S217">
            <v>94.293043478260856</v>
          </cell>
        </row>
        <row r="218">
          <cell r="C218">
            <v>45017</v>
          </cell>
          <cell r="O218">
            <v>83.411842105263162</v>
          </cell>
          <cell r="P218">
            <v>84.935555555555538</v>
          </cell>
          <cell r="R218">
            <v>70.855789473684212</v>
          </cell>
          <cell r="S218">
            <v>96.544210526315794</v>
          </cell>
        </row>
        <row r="219">
          <cell r="C219">
            <v>45047</v>
          </cell>
          <cell r="O219">
            <v>74.925454545454528</v>
          </cell>
          <cell r="P219">
            <v>75.55125000000001</v>
          </cell>
          <cell r="R219">
            <v>61.856818181818177</v>
          </cell>
          <cell r="S219">
            <v>85.602727272727279</v>
          </cell>
        </row>
        <row r="220">
          <cell r="C220">
            <v>45078</v>
          </cell>
          <cell r="O220">
            <v>74.99175000000001</v>
          </cell>
          <cell r="P220">
            <v>74.695909090909097</v>
          </cell>
          <cell r="R220">
            <v>56.863499999999988</v>
          </cell>
          <cell r="S220">
            <v>87.576499999999996</v>
          </cell>
        </row>
        <row r="221">
          <cell r="C221">
            <v>45108</v>
          </cell>
          <cell r="O221">
            <v>80.444999999999993</v>
          </cell>
          <cell r="P221">
            <v>80.051428571428559</v>
          </cell>
          <cell r="R221">
            <v>62.091904761904765</v>
          </cell>
          <cell r="S221">
            <v>93.198095238095249</v>
          </cell>
        </row>
        <row r="222">
          <cell r="C222">
            <v>45139</v>
          </cell>
          <cell r="O222">
            <v>86.464545454545444</v>
          </cell>
          <cell r="P222">
            <v>86.216590909090897</v>
          </cell>
          <cell r="R222">
            <v>70.218181818181819</v>
          </cell>
          <cell r="S222">
            <v>101.925</v>
          </cell>
        </row>
        <row r="223">
          <cell r="C223">
            <v>45170</v>
          </cell>
          <cell r="O223">
            <v>93.310249999999996</v>
          </cell>
          <cell r="P223">
            <v>94.001666666666665</v>
          </cell>
          <cell r="R223">
            <v>74.152500000000003</v>
          </cell>
          <cell r="S223">
            <v>104.5395</v>
          </cell>
        </row>
        <row r="224">
          <cell r="C224">
            <v>45200</v>
          </cell>
          <cell r="O224">
            <v>89.759772727272718</v>
          </cell>
          <cell r="P224">
            <v>91.046818181818196</v>
          </cell>
          <cell r="R224">
            <v>70.308636363636367</v>
          </cell>
          <cell r="S224">
            <v>93.780000000000015</v>
          </cell>
        </row>
        <row r="225">
          <cell r="C225">
            <v>45231</v>
          </cell>
          <cell r="O225">
            <v>83.561190476190475</v>
          </cell>
          <cell r="P225">
            <v>83.177727272727282</v>
          </cell>
          <cell r="R225">
            <v>69.358571428571452</v>
          </cell>
          <cell r="S225">
            <v>92.410476190476174</v>
          </cell>
        </row>
        <row r="226">
          <cell r="C226">
            <v>45261</v>
          </cell>
          <cell r="O226">
            <v>77.330499999999986</v>
          </cell>
          <cell r="P226">
            <v>77.911052631578968</v>
          </cell>
          <cell r="R226">
            <v>72.290500000000009</v>
          </cell>
          <cell r="S226">
            <v>87.280999999999992</v>
          </cell>
        </row>
        <row r="227">
          <cell r="C227">
            <v>45292</v>
          </cell>
          <cell r="O227">
            <v>78.847045454545466</v>
          </cell>
          <cell r="P227">
            <v>80.31750000000001</v>
          </cell>
          <cell r="R227">
            <v>72.463636363636354</v>
          </cell>
          <cell r="S227">
            <v>91.195454545454552</v>
          </cell>
        </row>
        <row r="228">
          <cell r="C228">
            <v>45323</v>
          </cell>
          <cell r="O228">
            <v>80.88424999999998</v>
          </cell>
          <cell r="P228">
            <v>83.927142857142854</v>
          </cell>
          <cell r="R228">
            <v>71.890999999999991</v>
          </cell>
          <cell r="S228">
            <v>95.591000000000008</v>
          </cell>
        </row>
        <row r="229">
          <cell r="C229">
            <v>45352</v>
          </cell>
          <cell r="O229">
            <v>84.151749999999993</v>
          </cell>
          <cell r="P229">
            <v>85.484499999999997</v>
          </cell>
          <cell r="R229">
            <v>75.861500000000007</v>
          </cell>
          <cell r="S229">
            <v>97.141999999999982</v>
          </cell>
        </row>
        <row r="230">
          <cell r="C230">
            <v>45383</v>
          </cell>
          <cell r="O230">
            <v>89.172380952380962</v>
          </cell>
          <cell r="P230">
            <v>90.15023809523808</v>
          </cell>
          <cell r="R230">
            <v>75.040952380952405</v>
          </cell>
          <cell r="S230">
            <v>102.1257142857143</v>
          </cell>
        </row>
        <row r="231">
          <cell r="C231">
            <v>45413</v>
          </cell>
          <cell r="O231">
            <v>84.0352380952381</v>
          </cell>
          <cell r="P231">
            <v>82.047857142857154</v>
          </cell>
          <cell r="R231">
            <v>71.563809523809525</v>
          </cell>
          <cell r="S231">
            <v>91.130476190476188</v>
          </cell>
        </row>
        <row r="232">
          <cell r="C232">
            <v>45444</v>
          </cell>
          <cell r="O232">
            <v>82.548684210526318</v>
          </cell>
          <cell r="P232">
            <v>82.60775000000001</v>
          </cell>
          <cell r="R232">
            <v>71.834210526315786</v>
          </cell>
          <cell r="S232">
            <v>87.934736842105252</v>
          </cell>
        </row>
        <row r="233">
          <cell r="C233">
            <v>45474</v>
          </cell>
          <cell r="O233">
            <v>83.829782608695652</v>
          </cell>
          <cell r="P233">
            <v>85.305869565217421</v>
          </cell>
          <cell r="R233">
            <v>74.413913043478246</v>
          </cell>
          <cell r="S233">
            <v>92.134347826086966</v>
          </cell>
        </row>
        <row r="234">
          <cell r="C234">
            <v>45505</v>
          </cell>
          <cell r="O234">
            <v>77.595714285714308</v>
          </cell>
          <cell r="P234">
            <v>80.906428571428563</v>
          </cell>
          <cell r="R234">
            <v>72.360952380952398</v>
          </cell>
          <cell r="S234">
            <v>84.701904761904743</v>
          </cell>
        </row>
        <row r="235">
          <cell r="C235">
            <v>45536</v>
          </cell>
          <cell r="O235">
            <v>73.513809523809513</v>
          </cell>
          <cell r="P235">
            <v>74.329523809523806</v>
          </cell>
          <cell r="R235">
            <v>69.985714285714309</v>
          </cell>
          <cell r="S235">
            <v>78.447619047619057</v>
          </cell>
        </row>
        <row r="236">
          <cell r="C236">
            <v>45566</v>
          </cell>
          <cell r="O236">
            <v>74.94</v>
          </cell>
          <cell r="P236">
            <v>75.658695652173918</v>
          </cell>
          <cell r="R236">
            <v>72.948636363636354</v>
          </cell>
          <cell r="S236">
            <v>79.754545454545465</v>
          </cell>
        </row>
        <row r="237">
          <cell r="C237">
            <v>45597</v>
          </cell>
          <cell r="O237">
            <v>72.617857142857133</v>
          </cell>
          <cell r="P237">
            <v>74.471666666666664</v>
          </cell>
          <cell r="R237">
            <v>69.695238095238096</v>
          </cell>
          <cell r="S237">
            <v>79.087619047619043</v>
          </cell>
        </row>
        <row r="238">
          <cell r="C238">
            <v>45627</v>
          </cell>
          <cell r="O238">
            <v>73.234047619047615</v>
          </cell>
          <cell r="P238">
            <v>73.943749999999994</v>
          </cell>
          <cell r="R238">
            <v>69.044761904761913</v>
          </cell>
          <cell r="S238">
            <v>81.351904761904763</v>
          </cell>
        </row>
        <row r="239">
          <cell r="C239">
            <v>45658</v>
          </cell>
          <cell r="O239">
            <v>80.409750000000003</v>
          </cell>
          <cell r="P239">
            <v>79.234318181818182</v>
          </cell>
          <cell r="R239">
            <v>72.842000000000013</v>
          </cell>
          <cell r="S239">
            <v>84.481500000000011</v>
          </cell>
        </row>
        <row r="240">
          <cell r="C240">
            <v>45689</v>
          </cell>
          <cell r="O240">
            <v>77.920249999999996</v>
          </cell>
          <cell r="P240">
            <v>75.155000000000001</v>
          </cell>
          <cell r="R240">
            <v>72.10899999999998</v>
          </cell>
          <cell r="S240">
            <v>84.832499999999996</v>
          </cell>
        </row>
        <row r="241">
          <cell r="C241">
            <v>45717</v>
          </cell>
          <cell r="O241">
            <v>72.487499999999983</v>
          </cell>
          <cell r="P241">
            <v>72.600952380952378</v>
          </cell>
          <cell r="R241">
            <v>69.352500000000006</v>
          </cell>
          <cell r="S241">
            <v>79.558000000000007</v>
          </cell>
        </row>
        <row r="242">
          <cell r="C242">
            <v>45748</v>
          </cell>
          <cell r="O242">
            <v>67.737857142857152</v>
          </cell>
          <cell r="P242">
            <v>67.785749999999993</v>
          </cell>
          <cell r="R242">
            <v>61.904285714285713</v>
          </cell>
          <cell r="S242">
            <v>75.302857142857121</v>
          </cell>
        </row>
        <row r="243">
          <cell r="C243">
            <v>45778</v>
          </cell>
          <cell r="O243">
            <v>63.732749999999996</v>
          </cell>
          <cell r="P243">
            <v>64.223749999999995</v>
          </cell>
          <cell r="R243">
            <v>61.225000000000023</v>
          </cell>
          <cell r="S243">
            <v>75.028499999999994</v>
          </cell>
        </row>
        <row r="244">
          <cell r="C244">
            <v>45809</v>
          </cell>
          <cell r="O244">
            <v>69.268333333333345</v>
          </cell>
          <cell r="P244">
            <v>71.463571428571427</v>
          </cell>
          <cell r="R244">
            <v>63.821904761904761</v>
          </cell>
          <cell r="S244">
            <v>80.103333333333339</v>
          </cell>
        </row>
        <row r="245">
          <cell r="C245">
            <v>45839</v>
          </cell>
          <cell r="O245">
            <v>69.303333333333327</v>
          </cell>
          <cell r="P245">
            <v>58.62166666666667</v>
          </cell>
          <cell r="R245">
            <v>62.389999999999993</v>
          </cell>
          <cell r="S245">
            <v>78.463333333333338</v>
          </cell>
        </row>
        <row r="246">
          <cell r="C246">
            <v>45870</v>
          </cell>
          <cell r="O246">
            <v>68.079846847226648</v>
          </cell>
          <cell r="P246">
            <v>67.38393020441211</v>
          </cell>
          <cell r="R246">
            <v>61.744909205123847</v>
          </cell>
          <cell r="S246">
            <v>77.25984684722664</v>
          </cell>
        </row>
        <row r="247">
          <cell r="C247">
            <v>45901</v>
          </cell>
          <cell r="O247">
            <v>65.745557982241166</v>
          </cell>
          <cell r="P247">
            <v>65.933943461310818</v>
          </cell>
          <cell r="R247">
            <v>61.466594799402699</v>
          </cell>
          <cell r="S247">
            <v>72.165557982241168</v>
          </cell>
        </row>
        <row r="248">
          <cell r="C248">
            <v>45931</v>
          </cell>
          <cell r="O248">
            <v>67.352164742720163</v>
          </cell>
          <cell r="P248">
            <v>66.991392324078362</v>
          </cell>
          <cell r="R248">
            <v>62.799554262716029</v>
          </cell>
          <cell r="S248">
            <v>73.692164742720166</v>
          </cell>
        </row>
        <row r="249">
          <cell r="C249">
            <v>45962</v>
          </cell>
          <cell r="O249">
            <v>67.889848931742961</v>
          </cell>
          <cell r="P249">
            <v>66.695470012001167</v>
          </cell>
          <cell r="R249">
            <v>62.659595177805144</v>
          </cell>
          <cell r="S249">
            <v>75.049848931742957</v>
          </cell>
        </row>
        <row r="250">
          <cell r="C250">
            <v>45992</v>
          </cell>
          <cell r="O250">
            <v>67.162889186041866</v>
          </cell>
          <cell r="P250">
            <v>67.186662869053364</v>
          </cell>
          <cell r="R250">
            <v>63.095939238773788</v>
          </cell>
          <cell r="S250">
            <v>73.832889186041868</v>
          </cell>
        </row>
        <row r="251">
          <cell r="C251">
            <v>46023</v>
          </cell>
          <cell r="O251">
            <v>67.249082069265114</v>
          </cell>
          <cell r="P251">
            <v>66.318139755027815</v>
          </cell>
          <cell r="R251">
            <v>63.411038872773403</v>
          </cell>
          <cell r="S251">
            <v>74.26908206926511</v>
          </cell>
        </row>
        <row r="252">
          <cell r="C252">
            <v>46054</v>
          </cell>
          <cell r="O252">
            <v>66.491112276308243</v>
          </cell>
          <cell r="P252">
            <v>65.659588006984137</v>
          </cell>
          <cell r="R252">
            <v>62.719067772951462</v>
          </cell>
          <cell r="S252">
            <v>74.701112276308237</v>
          </cell>
        </row>
        <row r="253">
          <cell r="C253">
            <v>46082</v>
          </cell>
          <cell r="O253">
            <v>66.435817226402435</v>
          </cell>
          <cell r="P253">
            <v>65.256365614682892</v>
          </cell>
          <cell r="R253">
            <v>62.380649963204064</v>
          </cell>
          <cell r="S253">
            <v>73.995817226402437</v>
          </cell>
        </row>
        <row r="254">
          <cell r="C254">
            <v>46113</v>
          </cell>
          <cell r="O254">
            <v>66.346019166141161</v>
          </cell>
          <cell r="P254">
            <v>65.445753065325164</v>
          </cell>
          <cell r="R254">
            <v>62.587600120971018</v>
          </cell>
          <cell r="S254">
            <v>74.92601916614116</v>
          </cell>
        </row>
        <row r="255">
          <cell r="C255">
            <v>46143</v>
          </cell>
          <cell r="O255">
            <v>66.375133251663996</v>
          </cell>
          <cell r="P255">
            <v>66.317612716567723</v>
          </cell>
          <cell r="R255">
            <v>63.404844019570959</v>
          </cell>
          <cell r="S255">
            <v>73.285133251663993</v>
          </cell>
        </row>
        <row r="256">
          <cell r="C256">
            <v>46174</v>
          </cell>
          <cell r="O256">
            <v>67.865979477318049</v>
          </cell>
          <cell r="P256">
            <v>67.369650930210184</v>
          </cell>
          <cell r="R256">
            <v>64.858744933676576</v>
          </cell>
          <cell r="S256">
            <v>74.915979477318047</v>
          </cell>
        </row>
        <row r="257">
          <cell r="C257">
            <v>46204</v>
          </cell>
          <cell r="O257">
            <v>67.677566402481801</v>
          </cell>
          <cell r="P257">
            <v>67.628888815099486</v>
          </cell>
          <cell r="R257">
            <v>63.930578718856367</v>
          </cell>
          <cell r="S257">
            <v>76.297566402481806</v>
          </cell>
        </row>
        <row r="258">
          <cell r="C258">
            <v>46235</v>
          </cell>
          <cell r="O258">
            <v>68.169739659087</v>
          </cell>
          <cell r="P258">
            <v>67.610065419370656</v>
          </cell>
          <cell r="R258">
            <v>62.841951415724317</v>
          </cell>
          <cell r="S258">
            <v>76.749739659086998</v>
          </cell>
        </row>
        <row r="259">
          <cell r="C259">
            <v>46266</v>
          </cell>
          <cell r="O259">
            <v>67.72941299314995</v>
          </cell>
          <cell r="P259">
            <v>67.835990375056383</v>
          </cell>
          <cell r="R259">
            <v>62.545438072353058</v>
          </cell>
          <cell r="S259">
            <v>73.97941299314995</v>
          </cell>
        </row>
        <row r="260">
          <cell r="C260">
            <v>46296</v>
          </cell>
          <cell r="O260">
            <v>69.142870633750675</v>
          </cell>
          <cell r="P260">
            <v>68.942488927417301</v>
          </cell>
          <cell r="R260">
            <v>63.49448991179635</v>
          </cell>
          <cell r="S260">
            <v>74.01287063375068</v>
          </cell>
        </row>
        <row r="261">
          <cell r="C261">
            <v>46327</v>
          </cell>
          <cell r="O261">
            <v>71.185328220406873</v>
          </cell>
          <cell r="P261">
            <v>70.603208587893093</v>
          </cell>
          <cell r="R261">
            <v>64.625828458120424</v>
          </cell>
          <cell r="S261">
            <v>76.805328220406878</v>
          </cell>
        </row>
        <row r="262">
          <cell r="C262">
            <v>46357</v>
          </cell>
          <cell r="O262">
            <v>72.284625212182419</v>
          </cell>
          <cell r="P262">
            <v>71.900280124882968</v>
          </cell>
          <cell r="R262">
            <v>67.189570103376099</v>
          </cell>
          <cell r="S262">
            <v>79.714625212182426</v>
          </cell>
        </row>
        <row r="265">
          <cell r="C265">
            <v>2014</v>
          </cell>
          <cell r="O265">
            <v>96.608943091630593</v>
          </cell>
          <cell r="P265">
            <v>98.993340924775694</v>
          </cell>
          <cell r="R265">
            <v>94.336394841269836</v>
          </cell>
          <cell r="S265">
            <v>108.10931565656567</v>
          </cell>
        </row>
        <row r="266">
          <cell r="C266">
            <v>2015</v>
          </cell>
          <cell r="O266">
            <v>50.910251245221644</v>
          </cell>
          <cell r="P266">
            <v>52.461010120409732</v>
          </cell>
          <cell r="R266">
            <v>52.646536603503705</v>
          </cell>
          <cell r="S266">
            <v>66.094136350978445</v>
          </cell>
        </row>
        <row r="267">
          <cell r="C267">
            <v>2016</v>
          </cell>
          <cell r="O267">
            <v>41.270792530568848</v>
          </cell>
          <cell r="P267">
            <v>43.690492604617596</v>
          </cell>
          <cell r="R267">
            <v>42.55385324105719</v>
          </cell>
          <cell r="S267">
            <v>53.295540812257912</v>
          </cell>
        </row>
        <row r="268">
          <cell r="C268">
            <v>2017</v>
          </cell>
          <cell r="O268">
            <v>53.17358818509549</v>
          </cell>
          <cell r="P268">
            <v>54.27112164524177</v>
          </cell>
          <cell r="R268">
            <v>53.8426969556632</v>
          </cell>
          <cell r="S268">
            <v>65.436678752629263</v>
          </cell>
        </row>
        <row r="269">
          <cell r="C269">
            <v>2018</v>
          </cell>
          <cell r="O269">
            <v>69.420110327765514</v>
          </cell>
          <cell r="P269">
            <v>71.035817980683703</v>
          </cell>
          <cell r="R269">
            <v>67.032015897231005</v>
          </cell>
          <cell r="S269">
            <v>77.665428628939495</v>
          </cell>
        </row>
        <row r="270">
          <cell r="C270">
            <v>2019</v>
          </cell>
          <cell r="O270">
            <v>63.531592485963479</v>
          </cell>
          <cell r="P270">
            <v>64.304365840077793</v>
          </cell>
          <cell r="R270">
            <v>56.897805193566917</v>
          </cell>
          <cell r="S270">
            <v>69.455605294527487</v>
          </cell>
        </row>
        <row r="271">
          <cell r="C271">
            <v>2020</v>
          </cell>
          <cell r="O271">
            <v>42.206783158970659</v>
          </cell>
          <cell r="P271">
            <v>41.669196910259849</v>
          </cell>
          <cell r="R271">
            <v>40.438811808561816</v>
          </cell>
          <cell r="S271">
            <v>45.009904581529575</v>
          </cell>
        </row>
        <row r="272">
          <cell r="C272">
            <v>2021</v>
          </cell>
          <cell r="O272">
            <v>69.238852730475728</v>
          </cell>
          <cell r="P272">
            <v>70.732625164277621</v>
          </cell>
          <cell r="R272">
            <v>70.601907901340965</v>
          </cell>
          <cell r="S272">
            <v>78.289511886187782</v>
          </cell>
        </row>
        <row r="273">
          <cell r="C273">
            <v>2022</v>
          </cell>
          <cell r="O273">
            <v>96.336070065645004</v>
          </cell>
          <cell r="P273">
            <v>101.18604632298799</v>
          </cell>
          <cell r="R273">
            <v>83.096518615379026</v>
          </cell>
          <cell r="S273">
            <v>111.05349598359096</v>
          </cell>
        </row>
        <row r="274">
          <cell r="C274">
            <v>2023</v>
          </cell>
          <cell r="O274">
            <v>82.096611874506763</v>
          </cell>
          <cell r="P274">
            <v>82.61755718753129</v>
          </cell>
          <cell r="R274">
            <v>69.122050378746607</v>
          </cell>
          <cell r="S274">
            <v>94.058703953559771</v>
          </cell>
        </row>
        <row r="275">
          <cell r="C275">
            <v>2024</v>
          </cell>
          <cell r="O275">
            <v>79.614213324401248</v>
          </cell>
          <cell r="P275">
            <v>80.762576863354056</v>
          </cell>
          <cell r="R275">
            <v>72.258693739041291</v>
          </cell>
          <cell r="S275">
            <v>88.383110230285851</v>
          </cell>
        </row>
        <row r="276">
          <cell r="C276">
            <v>2025</v>
          </cell>
          <cell r="O276">
            <v>69.757506791624721</v>
          </cell>
          <cell r="P276">
            <v>68.606367294072029</v>
          </cell>
          <cell r="R276">
            <v>64.617606930001003</v>
          </cell>
          <cell r="S276">
            <v>77.480860958291387</v>
          </cell>
        </row>
        <row r="277">
          <cell r="C277">
            <v>2026</v>
          </cell>
          <cell r="O277">
            <v>68.079390549013141</v>
          </cell>
          <cell r="P277">
            <v>67.574002694876484</v>
          </cell>
          <cell r="R277">
            <v>63.665816863614509</v>
          </cell>
          <cell r="S277">
            <v>75.304390549013149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AUS"/>
      <sheetName val="CHN"/>
      <sheetName val="IND"/>
      <sheetName val="JPN"/>
      <sheetName val="SKR"/>
      <sheetName val="TWN"/>
      <sheetName val="THA"/>
      <sheetName val="PAK"/>
      <sheetName val="MAS"/>
      <sheetName val="INA"/>
      <sheetName val="PHI"/>
      <sheetName val="SIN"/>
      <sheetName val="VIE"/>
      <sheetName val="OTH"/>
      <sheetName val="BRU"/>
      <sheetName val="NZL"/>
      <sheetName val="HKG"/>
      <sheetName val="RUNS"/>
      <sheetName val="SUPPLY"/>
      <sheetName val="BALANCES"/>
      <sheetName val="DEMAND"/>
      <sheetName val="IMPORT"/>
      <sheetName val="EXPORT"/>
      <sheetName val="NET EXPORTS"/>
      <sheetName val="STOCK CHG"/>
      <sheetName val="LPG"/>
      <sheetName val="NAPHTHA"/>
      <sheetName val="GASOLINE"/>
      <sheetName val="KEROJET"/>
      <sheetName val="JET"/>
      <sheetName val="GASOIL"/>
      <sheetName val="MGO"/>
      <sheetName val="FUELOIL"/>
      <sheetName val="VLSFO"/>
      <sheetName val="FOF"/>
      <sheetName val="Comparison"/>
      <sheetName val="APPM Appdx"/>
      <sheetName val="Capacit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3">
          <cell r="BM3" t="str">
            <v>Utilzation Rate (%)</v>
          </cell>
        </row>
        <row r="5">
          <cell r="B5">
            <v>40179</v>
          </cell>
          <cell r="D5">
            <v>23739.73911463518</v>
          </cell>
        </row>
        <row r="6">
          <cell r="B6">
            <v>40210</v>
          </cell>
          <cell r="D6">
            <v>24330.577374177119</v>
          </cell>
        </row>
        <row r="7">
          <cell r="B7">
            <v>40238</v>
          </cell>
          <cell r="D7">
            <v>23562.646890642325</v>
          </cell>
        </row>
        <row r="8">
          <cell r="B8">
            <v>40269</v>
          </cell>
          <cell r="D8">
            <v>23946.278814812511</v>
          </cell>
        </row>
        <row r="9">
          <cell r="B9">
            <v>40299</v>
          </cell>
          <cell r="D9">
            <v>23749.504890822409</v>
          </cell>
        </row>
        <row r="10">
          <cell r="B10">
            <v>40330</v>
          </cell>
          <cell r="D10">
            <v>23798.759461326816</v>
          </cell>
        </row>
        <row r="11">
          <cell r="B11">
            <v>40360</v>
          </cell>
          <cell r="D11">
            <v>23640.22275008163</v>
          </cell>
        </row>
        <row r="12">
          <cell r="B12">
            <v>40391</v>
          </cell>
          <cell r="D12">
            <v>23825.649121019327</v>
          </cell>
        </row>
        <row r="13">
          <cell r="B13">
            <v>40422</v>
          </cell>
          <cell r="D13">
            <v>23893.820871172633</v>
          </cell>
        </row>
        <row r="14">
          <cell r="B14">
            <v>40452</v>
          </cell>
          <cell r="D14">
            <v>23989.827656177455</v>
          </cell>
        </row>
        <row r="15">
          <cell r="B15">
            <v>40483</v>
          </cell>
          <cell r="D15">
            <v>24725.661829974379</v>
          </cell>
        </row>
        <row r="16">
          <cell r="B16">
            <v>40513</v>
          </cell>
          <cell r="D16">
            <v>25271.108597260198</v>
          </cell>
        </row>
        <row r="17">
          <cell r="B17">
            <v>40544</v>
          </cell>
          <cell r="D17">
            <v>25446.936521557607</v>
          </cell>
          <cell r="BM17"/>
        </row>
        <row r="18">
          <cell r="B18">
            <v>40575</v>
          </cell>
          <cell r="D18">
            <v>25761.509017378125</v>
          </cell>
        </row>
        <row r="19">
          <cell r="B19">
            <v>40603</v>
          </cell>
          <cell r="D19">
            <v>24725.482226011998</v>
          </cell>
        </row>
        <row r="20">
          <cell r="B20">
            <v>40634</v>
          </cell>
          <cell r="D20">
            <v>24486.35427247428</v>
          </cell>
        </row>
        <row r="21">
          <cell r="B21">
            <v>40664</v>
          </cell>
          <cell r="D21">
            <v>24309.370118455976</v>
          </cell>
        </row>
        <row r="22">
          <cell r="B22">
            <v>40695</v>
          </cell>
          <cell r="D22">
            <v>24423.702241801922</v>
          </cell>
        </row>
        <row r="23">
          <cell r="B23">
            <v>40725</v>
          </cell>
          <cell r="D23">
            <v>24381.334984397632</v>
          </cell>
        </row>
        <row r="24">
          <cell r="B24">
            <v>40756</v>
          </cell>
          <cell r="D24">
            <v>24403.244239542353</v>
          </cell>
        </row>
        <row r="25">
          <cell r="B25">
            <v>40787</v>
          </cell>
          <cell r="D25">
            <v>24278.570218359477</v>
          </cell>
        </row>
        <row r="26">
          <cell r="B26">
            <v>40817</v>
          </cell>
          <cell r="D26">
            <v>23790.410302139142</v>
          </cell>
        </row>
        <row r="27">
          <cell r="B27">
            <v>40848</v>
          </cell>
          <cell r="D27">
            <v>25250.402967088892</v>
          </cell>
        </row>
        <row r="28">
          <cell r="B28">
            <v>40878</v>
          </cell>
          <cell r="D28">
            <v>25744.228796892014</v>
          </cell>
        </row>
        <row r="29">
          <cell r="B29">
            <v>40909</v>
          </cell>
          <cell r="D29">
            <v>25619.407802928308</v>
          </cell>
          <cell r="BM29"/>
        </row>
        <row r="30">
          <cell r="B30">
            <v>40940</v>
          </cell>
          <cell r="D30">
            <v>25180.364359108993</v>
          </cell>
        </row>
        <row r="31">
          <cell r="B31">
            <v>40969</v>
          </cell>
          <cell r="D31">
            <v>25451.283798227778</v>
          </cell>
        </row>
        <row r="32">
          <cell r="B32">
            <v>41000</v>
          </cell>
          <cell r="D32">
            <v>24900.604967623742</v>
          </cell>
        </row>
        <row r="33">
          <cell r="B33">
            <v>41030</v>
          </cell>
          <cell r="D33">
            <v>24523.362376233701</v>
          </cell>
        </row>
        <row r="34">
          <cell r="B34">
            <v>41061</v>
          </cell>
          <cell r="D34">
            <v>24192.855325609715</v>
          </cell>
        </row>
        <row r="35">
          <cell r="B35">
            <v>41091</v>
          </cell>
          <cell r="D35">
            <v>24676.177621338345</v>
          </cell>
        </row>
        <row r="36">
          <cell r="B36">
            <v>41122</v>
          </cell>
          <cell r="D36">
            <v>24953.25601432347</v>
          </cell>
        </row>
        <row r="37">
          <cell r="B37">
            <v>41153</v>
          </cell>
          <cell r="D37">
            <v>25320.706816745769</v>
          </cell>
        </row>
        <row r="38">
          <cell r="B38">
            <v>41183</v>
          </cell>
          <cell r="D38">
            <v>25450.425966212137</v>
          </cell>
        </row>
        <row r="39">
          <cell r="B39">
            <v>41214</v>
          </cell>
          <cell r="D39">
            <v>25912.431240289152</v>
          </cell>
        </row>
        <row r="40">
          <cell r="B40">
            <v>41244</v>
          </cell>
          <cell r="D40">
            <v>26573.85307095492</v>
          </cell>
        </row>
        <row r="41">
          <cell r="B41">
            <v>41275</v>
          </cell>
          <cell r="D41">
            <v>25673.704986289751</v>
          </cell>
          <cell r="BM41">
            <v>0.79961457680704096</v>
          </cell>
        </row>
        <row r="42">
          <cell r="B42">
            <v>41306</v>
          </cell>
          <cell r="D42">
            <v>26879.432967695629</v>
          </cell>
          <cell r="BM42">
            <v>0.83426754753984045</v>
          </cell>
        </row>
        <row r="43">
          <cell r="B43">
            <v>41334</v>
          </cell>
          <cell r="D43">
            <v>25313.061820010676</v>
          </cell>
          <cell r="BM43">
            <v>0.78542475821123148</v>
          </cell>
        </row>
        <row r="44">
          <cell r="B44">
            <v>41365</v>
          </cell>
          <cell r="D44">
            <v>24843.180684667001</v>
          </cell>
          <cell r="BM44">
            <v>0.77084508074117619</v>
          </cell>
        </row>
        <row r="45">
          <cell r="B45">
            <v>41395</v>
          </cell>
          <cell r="D45">
            <v>24474.266669996567</v>
          </cell>
          <cell r="BM45">
            <v>0.75133899435739215</v>
          </cell>
        </row>
        <row r="46">
          <cell r="B46">
            <v>41426</v>
          </cell>
          <cell r="D46">
            <v>25285.098500072178</v>
          </cell>
          <cell r="BM46">
            <v>0.77232112367389982</v>
          </cell>
        </row>
        <row r="47">
          <cell r="B47">
            <v>41456</v>
          </cell>
          <cell r="D47">
            <v>25458.18993286369</v>
          </cell>
          <cell r="BM47">
            <v>0.77760811790378126</v>
          </cell>
        </row>
        <row r="48">
          <cell r="B48">
            <v>41487</v>
          </cell>
          <cell r="D48">
            <v>25594.463820912071</v>
          </cell>
          <cell r="BM48">
            <v>0.78053556995727669</v>
          </cell>
        </row>
        <row r="49">
          <cell r="B49">
            <v>41518</v>
          </cell>
          <cell r="D49">
            <v>24948.546025924592</v>
          </cell>
          <cell r="BM49">
            <v>0.76083748924014238</v>
          </cell>
        </row>
        <row r="50">
          <cell r="B50">
            <v>41548</v>
          </cell>
          <cell r="D50">
            <v>25009.690859235478</v>
          </cell>
          <cell r="BM50">
            <v>0.76264635944645609</v>
          </cell>
        </row>
        <row r="51">
          <cell r="B51">
            <v>41579</v>
          </cell>
          <cell r="D51">
            <v>25730.846176800329</v>
          </cell>
          <cell r="BM51">
            <v>0.77284429717334902</v>
          </cell>
        </row>
        <row r="52">
          <cell r="B52">
            <v>41609</v>
          </cell>
          <cell r="D52">
            <v>26208.499751155563</v>
          </cell>
          <cell r="BM52">
            <v>0.78837493272877468</v>
          </cell>
        </row>
        <row r="53">
          <cell r="B53">
            <v>41640</v>
          </cell>
          <cell r="D53">
            <v>25512.628302976984</v>
          </cell>
          <cell r="BM53">
            <v>0.76744250197712605</v>
          </cell>
        </row>
        <row r="54">
          <cell r="B54">
            <v>41671</v>
          </cell>
          <cell r="D54">
            <v>26997.173718377398</v>
          </cell>
          <cell r="BM54">
            <v>0.8096051327854652</v>
          </cell>
        </row>
        <row r="55">
          <cell r="B55">
            <v>41699</v>
          </cell>
          <cell r="D55">
            <v>26059.218218776026</v>
          </cell>
          <cell r="BM55">
            <v>0.78147724078006209</v>
          </cell>
        </row>
        <row r="56">
          <cell r="B56">
            <v>41730</v>
          </cell>
          <cell r="D56">
            <v>25047.78810956459</v>
          </cell>
          <cell r="BM56">
            <v>0.75109414873171088</v>
          </cell>
        </row>
        <row r="57">
          <cell r="B57">
            <v>41760</v>
          </cell>
          <cell r="D57">
            <v>24528.414712894788</v>
          </cell>
          <cell r="BM57">
            <v>0.73270109398162853</v>
          </cell>
        </row>
        <row r="58">
          <cell r="B58">
            <v>41791</v>
          </cell>
          <cell r="D58">
            <v>24821.557194550718</v>
          </cell>
          <cell r="BM58">
            <v>0.73901175123336715</v>
          </cell>
        </row>
        <row r="59">
          <cell r="B59">
            <v>41821</v>
          </cell>
          <cell r="D59">
            <v>25175.363151764261</v>
          </cell>
          <cell r="BM59">
            <v>0.7489658366955021</v>
          </cell>
        </row>
        <row r="60">
          <cell r="B60">
            <v>41852</v>
          </cell>
          <cell r="D60">
            <v>25686.983474902772</v>
          </cell>
          <cell r="BM60">
            <v>0.76298348432129182</v>
          </cell>
        </row>
        <row r="61">
          <cell r="B61">
            <v>41883</v>
          </cell>
          <cell r="D61">
            <v>25849.865274607346</v>
          </cell>
          <cell r="BM61">
            <v>0.76782158153081981</v>
          </cell>
        </row>
        <row r="62">
          <cell r="B62">
            <v>41913</v>
          </cell>
          <cell r="D62">
            <v>25843.647640963161</v>
          </cell>
          <cell r="BM62">
            <v>0.76919280801952361</v>
          </cell>
        </row>
        <row r="63">
          <cell r="B63">
            <v>41944</v>
          </cell>
          <cell r="D63">
            <v>26336.862357545644</v>
          </cell>
          <cell r="BM63">
            <v>0.7799077963808928</v>
          </cell>
        </row>
        <row r="64">
          <cell r="B64">
            <v>41974</v>
          </cell>
          <cell r="D64">
            <v>26762.136952140165</v>
          </cell>
          <cell r="BM64">
            <v>0.79250136077076649</v>
          </cell>
        </row>
        <row r="65">
          <cell r="B65">
            <v>42005</v>
          </cell>
          <cell r="D65">
            <v>26673.579975326891</v>
          </cell>
          <cell r="BM65">
            <v>0.78987894221144983</v>
          </cell>
        </row>
        <row r="66">
          <cell r="B66">
            <v>42036</v>
          </cell>
          <cell r="D66">
            <v>26851.969150256671</v>
          </cell>
          <cell r="BM66">
            <v>0.79304560786125733</v>
          </cell>
        </row>
        <row r="67">
          <cell r="B67">
            <v>42064</v>
          </cell>
          <cell r="D67">
            <v>26676.797058724525</v>
          </cell>
          <cell r="BM67">
            <v>0.78852181874603255</v>
          </cell>
        </row>
        <row r="68">
          <cell r="B68">
            <v>42095</v>
          </cell>
          <cell r="D68">
            <v>26226.237438061486</v>
          </cell>
          <cell r="BM68">
            <v>0.77734087680688724</v>
          </cell>
        </row>
        <row r="69">
          <cell r="B69">
            <v>42125</v>
          </cell>
          <cell r="D69">
            <v>26418.402241571992</v>
          </cell>
          <cell r="BM69">
            <v>0.78240351130206076</v>
          </cell>
        </row>
        <row r="70">
          <cell r="B70">
            <v>42156</v>
          </cell>
          <cell r="D70">
            <v>26599.177434535901</v>
          </cell>
          <cell r="BM70">
            <v>0.78612759406590982</v>
          </cell>
        </row>
        <row r="71">
          <cell r="B71">
            <v>42186</v>
          </cell>
          <cell r="D71">
            <v>26444.225236360056</v>
          </cell>
          <cell r="BM71">
            <v>0.7815480464822675</v>
          </cell>
        </row>
        <row r="72">
          <cell r="B72">
            <v>42217</v>
          </cell>
          <cell r="D72">
            <v>26780.067048242498</v>
          </cell>
          <cell r="BM72">
            <v>0.79541130943271399</v>
          </cell>
        </row>
        <row r="73">
          <cell r="B73">
            <v>42248</v>
          </cell>
          <cell r="D73">
            <v>26046.201334994337</v>
          </cell>
          <cell r="BM73">
            <v>0.78075909050015857</v>
          </cell>
        </row>
        <row r="74">
          <cell r="B74">
            <v>42278</v>
          </cell>
          <cell r="D74">
            <v>25943.607353552408</v>
          </cell>
          <cell r="BM74">
            <v>0.77684774684250835</v>
          </cell>
        </row>
        <row r="75">
          <cell r="B75">
            <v>42309</v>
          </cell>
          <cell r="D75">
            <v>26832.126138173106</v>
          </cell>
          <cell r="BM75">
            <v>0.80153082761053729</v>
          </cell>
        </row>
        <row r="76">
          <cell r="B76">
            <v>42339</v>
          </cell>
          <cell r="D76">
            <v>27555.507550726299</v>
          </cell>
          <cell r="BM76">
            <v>0.82602670787660037</v>
          </cell>
        </row>
        <row r="77">
          <cell r="B77">
            <v>42370</v>
          </cell>
          <cell r="D77">
            <v>27679.266932146005</v>
          </cell>
          <cell r="BM77">
            <v>0.82676257522293028</v>
          </cell>
        </row>
        <row r="78">
          <cell r="B78">
            <v>42401</v>
          </cell>
          <cell r="D78">
            <v>27652.591075534958</v>
          </cell>
          <cell r="BM78">
            <v>0.81913943840248593</v>
          </cell>
        </row>
        <row r="79">
          <cell r="B79">
            <v>42430</v>
          </cell>
          <cell r="D79">
            <v>27518.533521245532</v>
          </cell>
          <cell r="BM79">
            <v>0.81432885373097696</v>
          </cell>
        </row>
        <row r="80">
          <cell r="B80">
            <v>42461</v>
          </cell>
          <cell r="D80">
            <v>27780.464261046498</v>
          </cell>
          <cell r="BM80">
            <v>0.82201909907994863</v>
          </cell>
        </row>
        <row r="81">
          <cell r="B81">
            <v>42491</v>
          </cell>
          <cell r="D81">
            <v>26999.330599038822</v>
          </cell>
          <cell r="BM81">
            <v>0.80118134444645361</v>
          </cell>
        </row>
        <row r="82">
          <cell r="B82">
            <v>42522</v>
          </cell>
          <cell r="D82">
            <v>27604.918235604306</v>
          </cell>
          <cell r="BM82">
            <v>0.82046877975837051</v>
          </cell>
        </row>
        <row r="83">
          <cell r="B83">
            <v>42552</v>
          </cell>
          <cell r="D83">
            <v>27795.801908203499</v>
          </cell>
          <cell r="BM83">
            <v>0.82614219246680809</v>
          </cell>
        </row>
        <row r="84">
          <cell r="B84">
            <v>42583</v>
          </cell>
          <cell r="D84">
            <v>27425.728304335124</v>
          </cell>
          <cell r="BM84">
            <v>0.81514292648111686</v>
          </cell>
        </row>
        <row r="85">
          <cell r="B85">
            <v>42614</v>
          </cell>
          <cell r="D85">
            <v>27297.112851390069</v>
          </cell>
          <cell r="BM85">
            <v>0.81132023942096121</v>
          </cell>
        </row>
        <row r="86">
          <cell r="B86">
            <v>42644</v>
          </cell>
          <cell r="D86">
            <v>27716.409690456814</v>
          </cell>
          <cell r="BM86">
            <v>0.82472869072110055</v>
          </cell>
        </row>
        <row r="87">
          <cell r="B87">
            <v>42675</v>
          </cell>
          <cell r="D87">
            <v>28300.192001378553</v>
          </cell>
          <cell r="BM87">
            <v>0.83735067598235813</v>
          </cell>
        </row>
        <row r="88">
          <cell r="B88">
            <v>42705</v>
          </cell>
          <cell r="D88">
            <v>29074.8224306343</v>
          </cell>
          <cell r="BM88">
            <v>0.86027056689837056</v>
          </cell>
        </row>
        <row r="89">
          <cell r="B89">
            <v>42736</v>
          </cell>
          <cell r="D89">
            <v>28831.163002211582</v>
          </cell>
          <cell r="BM89">
            <v>0.85306113216770507</v>
          </cell>
        </row>
        <row r="90">
          <cell r="B90">
            <v>42767</v>
          </cell>
          <cell r="D90">
            <v>29230.495277474354</v>
          </cell>
          <cell r="BM90">
            <v>0.86487664036696277</v>
          </cell>
        </row>
        <row r="91">
          <cell r="B91">
            <v>42795</v>
          </cell>
          <cell r="D91">
            <v>28290.521223350595</v>
          </cell>
          <cell r="BM91">
            <v>0.84188709050939625</v>
          </cell>
        </row>
        <row r="92">
          <cell r="B92">
            <v>42826</v>
          </cell>
          <cell r="D92">
            <v>27760.886070771867</v>
          </cell>
          <cell r="BM92">
            <v>0.82612587514981595</v>
          </cell>
        </row>
        <row r="93">
          <cell r="B93">
            <v>42856</v>
          </cell>
          <cell r="D93">
            <v>27980.173785979125</v>
          </cell>
          <cell r="BM93">
            <v>0.83258220243045611</v>
          </cell>
        </row>
        <row r="94">
          <cell r="B94">
            <v>42887</v>
          </cell>
          <cell r="D94">
            <v>27722.935451652906</v>
          </cell>
          <cell r="BM94">
            <v>0.82618156342933069</v>
          </cell>
        </row>
        <row r="95">
          <cell r="B95">
            <v>42917</v>
          </cell>
          <cell r="D95">
            <v>27936.329152967792</v>
          </cell>
          <cell r="BM95">
            <v>0.83254098889802841</v>
          </cell>
        </row>
        <row r="96">
          <cell r="B96">
            <v>42948</v>
          </cell>
          <cell r="D96">
            <v>28717.922461208727</v>
          </cell>
          <cell r="BM96">
            <v>0.84515435663293248</v>
          </cell>
        </row>
        <row r="97">
          <cell r="B97">
            <v>42979</v>
          </cell>
          <cell r="D97">
            <v>29303.874010831409</v>
          </cell>
          <cell r="BM97">
            <v>0.85679082187923494</v>
          </cell>
        </row>
        <row r="98">
          <cell r="B98">
            <v>43009</v>
          </cell>
          <cell r="D98">
            <v>29274.791723972456</v>
          </cell>
          <cell r="BM98">
            <v>0.85210624476718499</v>
          </cell>
        </row>
        <row r="99">
          <cell r="B99">
            <v>43040</v>
          </cell>
          <cell r="D99">
            <v>29787.203861804352</v>
          </cell>
          <cell r="BM99">
            <v>0.86040947266605683</v>
          </cell>
        </row>
        <row r="100">
          <cell r="B100">
            <v>43070</v>
          </cell>
          <cell r="D100">
            <v>29580.402396125635</v>
          </cell>
          <cell r="BM100">
            <v>0.85547381256545063</v>
          </cell>
        </row>
        <row r="101">
          <cell r="B101">
            <v>43101</v>
          </cell>
          <cell r="D101">
            <v>29966.12870178328</v>
          </cell>
          <cell r="BM101">
            <v>0.86661158528517102</v>
          </cell>
        </row>
        <row r="102">
          <cell r="B102">
            <v>43132</v>
          </cell>
          <cell r="D102">
            <v>29631.52910432596</v>
          </cell>
          <cell r="BM102">
            <v>0.84990790331472676</v>
          </cell>
        </row>
        <row r="103">
          <cell r="B103">
            <v>43160</v>
          </cell>
          <cell r="D103">
            <v>28961.125068258225</v>
          </cell>
          <cell r="BM103">
            <v>0.83103416313744005</v>
          </cell>
        </row>
        <row r="104">
          <cell r="B104">
            <v>43191</v>
          </cell>
          <cell r="D104">
            <v>29085.182247570345</v>
          </cell>
          <cell r="BM104">
            <v>0.83459396110619488</v>
          </cell>
        </row>
        <row r="105">
          <cell r="B105">
            <v>43221</v>
          </cell>
          <cell r="D105">
            <v>29340.976145068653</v>
          </cell>
          <cell r="BM105">
            <v>0.84193392000082201</v>
          </cell>
        </row>
        <row r="106">
          <cell r="B106">
            <v>43252</v>
          </cell>
          <cell r="D106">
            <v>29178.859379220394</v>
          </cell>
          <cell r="BM106">
            <v>0.83488631823689596</v>
          </cell>
        </row>
        <row r="107">
          <cell r="B107">
            <v>43282</v>
          </cell>
          <cell r="D107">
            <v>29766.033889541421</v>
          </cell>
          <cell r="BM107">
            <v>0.85168697376332769</v>
          </cell>
        </row>
        <row r="108">
          <cell r="B108">
            <v>43313</v>
          </cell>
          <cell r="D108">
            <v>29683.213366537551</v>
          </cell>
          <cell r="BM108">
            <v>0.84909131224577361</v>
          </cell>
        </row>
        <row r="109">
          <cell r="B109">
            <v>43344</v>
          </cell>
          <cell r="D109">
            <v>29978.654745932803</v>
          </cell>
          <cell r="BM109">
            <v>0.85567975778246252</v>
          </cell>
        </row>
        <row r="110">
          <cell r="B110">
            <v>43374</v>
          </cell>
          <cell r="D110">
            <v>29712.622888929614</v>
          </cell>
          <cell r="BM110">
            <v>0.84527806621460977</v>
          </cell>
        </row>
        <row r="111">
          <cell r="B111">
            <v>43405</v>
          </cell>
          <cell r="D111">
            <v>30208.358898324765</v>
          </cell>
          <cell r="BM111">
            <v>0.85938098728424728</v>
          </cell>
        </row>
        <row r="112">
          <cell r="B112">
            <v>43435</v>
          </cell>
          <cell r="D112">
            <v>29775.232701057896</v>
          </cell>
          <cell r="BM112">
            <v>0.84705921832358666</v>
          </cell>
        </row>
        <row r="113">
          <cell r="B113">
            <v>43466</v>
          </cell>
          <cell r="D113">
            <v>30030.345028755233</v>
          </cell>
          <cell r="BM113">
            <v>0.853908656673384</v>
          </cell>
        </row>
        <row r="114">
          <cell r="B114">
            <v>43497</v>
          </cell>
          <cell r="D114">
            <v>30770.522726755164</v>
          </cell>
          <cell r="BM114">
            <v>0.87495550589184989</v>
          </cell>
        </row>
        <row r="115">
          <cell r="B115">
            <v>43525</v>
          </cell>
          <cell r="D115">
            <v>29768.343872584119</v>
          </cell>
          <cell r="BM115">
            <v>0.84544659992229854</v>
          </cell>
        </row>
        <row r="116">
          <cell r="B116">
            <v>43556</v>
          </cell>
          <cell r="D116">
            <v>30200.654848788789</v>
          </cell>
          <cell r="BM116">
            <v>0.8514277979168321</v>
          </cell>
        </row>
        <row r="117">
          <cell r="B117">
            <v>43586</v>
          </cell>
          <cell r="D117">
            <v>29089.152750805766</v>
          </cell>
          <cell r="BM117">
            <v>0.8192327531079302</v>
          </cell>
        </row>
        <row r="118">
          <cell r="B118">
            <v>43617</v>
          </cell>
          <cell r="D118">
            <v>29619.950286115112</v>
          </cell>
          <cell r="BM118">
            <v>0.82502918486074783</v>
          </cell>
        </row>
        <row r="119">
          <cell r="B119">
            <v>43647</v>
          </cell>
          <cell r="D119">
            <v>29318.84755977281</v>
          </cell>
          <cell r="BM119">
            <v>0.81664231943815491</v>
          </cell>
        </row>
        <row r="120">
          <cell r="B120">
            <v>43678</v>
          </cell>
          <cell r="D120">
            <v>29708.438854252308</v>
          </cell>
          <cell r="BM120">
            <v>0.82749393076796651</v>
          </cell>
        </row>
        <row r="121">
          <cell r="B121">
            <v>43709</v>
          </cell>
          <cell r="D121">
            <v>30273.571130683948</v>
          </cell>
          <cell r="BM121">
            <v>0.84314813734658145</v>
          </cell>
        </row>
        <row r="122">
          <cell r="B122">
            <v>43739</v>
          </cell>
          <cell r="D122">
            <v>29415.119573986973</v>
          </cell>
          <cell r="BM122">
            <v>0.81923943401234833</v>
          </cell>
        </row>
        <row r="123">
          <cell r="B123">
            <v>43770</v>
          </cell>
          <cell r="D123">
            <v>30592.037106424777</v>
          </cell>
          <cell r="BM123">
            <v>0.85201772174727974</v>
          </cell>
        </row>
        <row r="124">
          <cell r="B124">
            <v>43800</v>
          </cell>
          <cell r="D124">
            <v>30814.033399929856</v>
          </cell>
          <cell r="BM124">
            <v>0.84922938318161256</v>
          </cell>
        </row>
        <row r="125">
          <cell r="B125">
            <v>43831</v>
          </cell>
          <cell r="D125">
            <v>31304.816181225055</v>
          </cell>
          <cell r="BM125">
            <v>0.85873196545918795</v>
          </cell>
        </row>
        <row r="126">
          <cell r="B126">
            <v>43862</v>
          </cell>
          <cell r="D126">
            <v>27752.487737525367</v>
          </cell>
          <cell r="BM126">
            <v>0.76109070942448509</v>
          </cell>
        </row>
        <row r="127">
          <cell r="B127">
            <v>43891</v>
          </cell>
          <cell r="D127">
            <v>28341.826768721614</v>
          </cell>
          <cell r="BM127">
            <v>0.77700782903424792</v>
          </cell>
        </row>
        <row r="128">
          <cell r="B128">
            <v>43922</v>
          </cell>
          <cell r="D128">
            <v>26677.243484221111</v>
          </cell>
          <cell r="BM128">
            <v>0.73137230050283242</v>
          </cell>
        </row>
        <row r="129">
          <cell r="B129">
            <v>43952</v>
          </cell>
          <cell r="D129">
            <v>26845.419100598894</v>
          </cell>
          <cell r="BM129">
            <v>0.737675666854407</v>
          </cell>
        </row>
        <row r="130">
          <cell r="B130">
            <v>43983</v>
          </cell>
          <cell r="D130">
            <v>28090.906706146743</v>
          </cell>
          <cell r="BM130">
            <v>0.76642429740741247</v>
          </cell>
        </row>
        <row r="131">
          <cell r="B131">
            <v>44013</v>
          </cell>
          <cell r="D131">
            <v>27960.283342449427</v>
          </cell>
          <cell r="BM131">
            <v>0.7628604067578878</v>
          </cell>
        </row>
        <row r="132">
          <cell r="B132">
            <v>44044</v>
          </cell>
          <cell r="D132">
            <v>27600.053704726481</v>
          </cell>
          <cell r="BM132">
            <v>0.7530320039268491</v>
          </cell>
        </row>
        <row r="133">
          <cell r="B133">
            <v>44075</v>
          </cell>
          <cell r="D133">
            <v>27974.368714499051</v>
          </cell>
          <cell r="BM133">
            <v>0.763244708036938</v>
          </cell>
        </row>
        <row r="134">
          <cell r="B134">
            <v>44105</v>
          </cell>
          <cell r="D134">
            <v>28491.811791756532</v>
          </cell>
          <cell r="BM134">
            <v>0.77863712438426347</v>
          </cell>
        </row>
        <row r="135">
          <cell r="B135">
            <v>44136</v>
          </cell>
          <cell r="D135">
            <v>29655.226470247751</v>
          </cell>
          <cell r="BM135">
            <v>0.81001970664830447</v>
          </cell>
        </row>
        <row r="136">
          <cell r="B136">
            <v>44166</v>
          </cell>
          <cell r="D136">
            <v>29877.491178077318</v>
          </cell>
          <cell r="BM136">
            <v>0.81819153473299244</v>
          </cell>
        </row>
        <row r="137">
          <cell r="B137">
            <v>44197</v>
          </cell>
          <cell r="D137">
            <v>29712.239300284047</v>
          </cell>
          <cell r="BM137">
            <v>0.81449587300973547</v>
          </cell>
        </row>
        <row r="138">
          <cell r="B138">
            <v>44228</v>
          </cell>
          <cell r="D138">
            <v>29191.330968813723</v>
          </cell>
          <cell r="BM138">
            <v>0.80021631360288492</v>
          </cell>
        </row>
        <row r="139">
          <cell r="B139">
            <v>44256</v>
          </cell>
          <cell r="D139">
            <v>29157.044074199977</v>
          </cell>
          <cell r="BM139">
            <v>0.7992764135879793</v>
          </cell>
        </row>
        <row r="140">
          <cell r="B140">
            <v>44287</v>
          </cell>
          <cell r="D140">
            <v>29199.40995212871</v>
          </cell>
          <cell r="BM140">
            <v>0.80349057536395019</v>
          </cell>
        </row>
        <row r="141">
          <cell r="B141">
            <v>44317</v>
          </cell>
          <cell r="D141">
            <v>28791.741197661584</v>
          </cell>
          <cell r="BM141">
            <v>0.79227260888374684</v>
          </cell>
        </row>
        <row r="142">
          <cell r="B142">
            <v>44348</v>
          </cell>
          <cell r="D142">
            <v>29531.247736325378</v>
          </cell>
          <cell r="BM142">
            <v>0.81231117207520842</v>
          </cell>
        </row>
        <row r="143">
          <cell r="B143">
            <v>44378</v>
          </cell>
          <cell r="D143">
            <v>28658.658920451613</v>
          </cell>
          <cell r="BM143">
            <v>0.78766336453127195</v>
          </cell>
        </row>
        <row r="144">
          <cell r="B144">
            <v>44409</v>
          </cell>
          <cell r="D144">
            <v>28633.858927501638</v>
          </cell>
          <cell r="BM144">
            <v>0.79301254102315111</v>
          </cell>
        </row>
        <row r="145">
          <cell r="B145">
            <v>44440</v>
          </cell>
          <cell r="D145">
            <v>28398.341369528531</v>
          </cell>
          <cell r="BM145">
            <v>0.78927911177368948</v>
          </cell>
        </row>
        <row r="146">
          <cell r="B146">
            <v>44470</v>
          </cell>
          <cell r="D146">
            <v>29046.347239858362</v>
          </cell>
          <cell r="BM146">
            <v>0.80547814092394432</v>
          </cell>
        </row>
        <row r="147">
          <cell r="B147">
            <v>44501</v>
          </cell>
          <cell r="D147">
            <v>30344.311167558713</v>
          </cell>
          <cell r="BM147">
            <v>0.84147170537585503</v>
          </cell>
        </row>
        <row r="148">
          <cell r="B148">
            <v>44531</v>
          </cell>
          <cell r="D148">
            <v>30146.443822304802</v>
          </cell>
          <cell r="BM148">
            <v>0.83598468767657019</v>
          </cell>
        </row>
        <row r="149">
          <cell r="B149">
            <v>44562</v>
          </cell>
          <cell r="D149">
            <v>30270.59075604301</v>
          </cell>
          <cell r="BM149">
            <v>0.82931080483064812</v>
          </cell>
        </row>
        <row r="150">
          <cell r="B150">
            <v>44593</v>
          </cell>
          <cell r="D150">
            <v>30414.839645350734</v>
          </cell>
          <cell r="BM150">
            <v>0.83326273175046994</v>
          </cell>
        </row>
        <row r="151">
          <cell r="B151">
            <v>44621</v>
          </cell>
          <cell r="D151">
            <v>29960.188821346386</v>
          </cell>
          <cell r="BM151">
            <v>0.82080685192273006</v>
          </cell>
        </row>
        <row r="152">
          <cell r="B152">
            <v>44652</v>
          </cell>
          <cell r="D152">
            <v>28609.211419098294</v>
          </cell>
          <cell r="BM152">
            <v>0.78569753296528078</v>
          </cell>
        </row>
        <row r="153">
          <cell r="B153">
            <v>44682</v>
          </cell>
          <cell r="D153">
            <v>29033.379004835202</v>
          </cell>
          <cell r="BM153">
            <v>0.79683660039947524</v>
          </cell>
        </row>
        <row r="154">
          <cell r="B154">
            <v>44713</v>
          </cell>
          <cell r="D154">
            <v>29350.954480947912</v>
          </cell>
          <cell r="BM154">
            <v>0.80555262903375002</v>
          </cell>
        </row>
        <row r="155">
          <cell r="B155">
            <v>44743</v>
          </cell>
          <cell r="D155">
            <v>28368.607128626983</v>
          </cell>
          <cell r="BM155">
            <v>0.77765674866574686</v>
          </cell>
        </row>
        <row r="156">
          <cell r="B156">
            <v>44774</v>
          </cell>
          <cell r="D156">
            <v>28703.10817664137</v>
          </cell>
          <cell r="BM156">
            <v>0.78682628583211889</v>
          </cell>
        </row>
        <row r="157">
          <cell r="B157">
            <v>44805</v>
          </cell>
          <cell r="D157">
            <v>29654.646235810134</v>
          </cell>
          <cell r="BM157">
            <v>0.81291040021848182</v>
          </cell>
        </row>
        <row r="158">
          <cell r="B158">
            <v>44835</v>
          </cell>
          <cell r="D158">
            <v>29189.282090649525</v>
          </cell>
          <cell r="BM158">
            <v>0.80648302560555452</v>
          </cell>
        </row>
        <row r="159">
          <cell r="B159">
            <v>44866</v>
          </cell>
          <cell r="D159">
            <v>30028.755580230118</v>
          </cell>
          <cell r="BM159">
            <v>0.82240596112184083</v>
          </cell>
        </row>
        <row r="160">
          <cell r="B160">
            <v>44896</v>
          </cell>
          <cell r="D160">
            <v>30420.669529919018</v>
          </cell>
          <cell r="BM160">
            <v>0.83313941851103601</v>
          </cell>
        </row>
        <row r="161">
          <cell r="B161">
            <v>44927</v>
          </cell>
          <cell r="D161">
            <v>30808.01210609989</v>
          </cell>
          <cell r="BM161">
            <v>0.84374767841032938</v>
          </cell>
        </row>
        <row r="162">
          <cell r="B162">
            <v>44958</v>
          </cell>
          <cell r="D162">
            <v>31378.384567185887</v>
          </cell>
          <cell r="BM162">
            <v>0.85936862916213763</v>
          </cell>
        </row>
        <row r="163">
          <cell r="B163">
            <v>44986</v>
          </cell>
          <cell r="D163">
            <v>31114.467013690668</v>
          </cell>
          <cell r="BM163">
            <v>0.84290667628444649</v>
          </cell>
        </row>
        <row r="164">
          <cell r="B164">
            <v>45017</v>
          </cell>
          <cell r="D164">
            <v>31065.991577376124</v>
          </cell>
          <cell r="BM164">
            <v>0.8415934521534546</v>
          </cell>
        </row>
        <row r="165">
          <cell r="B165">
            <v>45047</v>
          </cell>
          <cell r="D165">
            <v>30819.530298182777</v>
          </cell>
          <cell r="BM165">
            <v>0.83210792993616722</v>
          </cell>
        </row>
        <row r="166">
          <cell r="B166">
            <v>45078</v>
          </cell>
          <cell r="D166">
            <v>30322.065488529479</v>
          </cell>
          <cell r="BM166">
            <v>0.81867669302334833</v>
          </cell>
        </row>
        <row r="167">
          <cell r="B167">
            <v>45108</v>
          </cell>
          <cell r="D167">
            <v>30396.512724174532</v>
          </cell>
          <cell r="BM167">
            <v>0.82068672155209998</v>
          </cell>
        </row>
        <row r="168">
          <cell r="B168">
            <v>45139</v>
          </cell>
          <cell r="D168">
            <v>31340.57540883754</v>
          </cell>
          <cell r="BM168">
            <v>0.8461758201420041</v>
          </cell>
        </row>
        <row r="169">
          <cell r="B169">
            <v>45170</v>
          </cell>
          <cell r="D169">
            <v>31006.130183167857</v>
          </cell>
          <cell r="BM169">
            <v>0.83354517817317242</v>
          </cell>
        </row>
        <row r="170">
          <cell r="B170">
            <v>45200</v>
          </cell>
          <cell r="D170">
            <v>30532.937993265459</v>
          </cell>
          <cell r="BM170">
            <v>0.82597577749399997</v>
          </cell>
        </row>
        <row r="171">
          <cell r="B171">
            <v>45231</v>
          </cell>
          <cell r="D171">
            <v>30564.904941040582</v>
          </cell>
          <cell r="BM171">
            <v>0.82684054604488388</v>
          </cell>
        </row>
        <row r="172">
          <cell r="B172">
            <v>45261</v>
          </cell>
          <cell r="D172">
            <v>30594.789873968286</v>
          </cell>
          <cell r="BM172">
            <v>0.82921923232576733</v>
          </cell>
        </row>
        <row r="173">
          <cell r="B173">
            <v>45292</v>
          </cell>
          <cell r="D173">
            <v>30457.757927227103</v>
          </cell>
          <cell r="BM173">
            <v>0.82550521676465671</v>
          </cell>
        </row>
        <row r="174">
          <cell r="B174">
            <v>45323</v>
          </cell>
          <cell r="D174">
            <v>30720.324596555791</v>
          </cell>
          <cell r="BM174">
            <v>0.83262163537292178</v>
          </cell>
        </row>
        <row r="175">
          <cell r="B175">
            <v>45352</v>
          </cell>
          <cell r="D175">
            <v>31134.553598629271</v>
          </cell>
          <cell r="BM175">
            <v>0.84632362723250143</v>
          </cell>
        </row>
        <row r="176">
          <cell r="B176">
            <v>45383</v>
          </cell>
          <cell r="D176">
            <v>30146.126329393966</v>
          </cell>
          <cell r="BM176">
            <v>0.81945542919957493</v>
          </cell>
        </row>
        <row r="177">
          <cell r="B177">
            <v>45413</v>
          </cell>
          <cell r="D177">
            <v>30249.784870476844</v>
          </cell>
          <cell r="BM177">
            <v>0.82019969280867755</v>
          </cell>
        </row>
        <row r="178">
          <cell r="B178">
            <v>45444</v>
          </cell>
          <cell r="D178">
            <v>29951.239089222541</v>
          </cell>
          <cell r="BM178">
            <v>0.81210485315535197</v>
          </cell>
        </row>
        <row r="179">
          <cell r="B179">
            <v>45474</v>
          </cell>
          <cell r="D179">
            <v>29570.229697825045</v>
          </cell>
          <cell r="BM179">
            <v>0.80177407602356332</v>
          </cell>
        </row>
        <row r="180">
          <cell r="B180">
            <v>45505</v>
          </cell>
          <cell r="D180">
            <v>29839.709773750183</v>
          </cell>
          <cell r="BM180">
            <v>0.80908082139177828</v>
          </cell>
        </row>
        <row r="181">
          <cell r="B181">
            <v>45536</v>
          </cell>
          <cell r="D181">
            <v>30123.822819010118</v>
          </cell>
          <cell r="BM181">
            <v>0.81678432848919802</v>
          </cell>
        </row>
        <row r="182">
          <cell r="B182">
            <v>45566</v>
          </cell>
          <cell r="D182">
            <v>29587.31017031167</v>
          </cell>
          <cell r="BM182">
            <v>0.80420185889205387</v>
          </cell>
        </row>
        <row r="183">
          <cell r="B183">
            <v>45597</v>
          </cell>
          <cell r="D183">
            <v>30440.265877433398</v>
          </cell>
          <cell r="BM183">
            <v>0.8273857360769481</v>
          </cell>
        </row>
        <row r="184">
          <cell r="B184">
            <v>45627</v>
          </cell>
          <cell r="D184">
            <v>30626.106830942779</v>
          </cell>
          <cell r="BM184">
            <v>0.83243701107998913</v>
          </cell>
        </row>
        <row r="185">
          <cell r="B185">
            <v>45658</v>
          </cell>
          <cell r="D185">
            <v>31465.176932077946</v>
          </cell>
          <cell r="BM185">
            <v>0.85617432313434338</v>
          </cell>
        </row>
        <row r="186">
          <cell r="B186">
            <v>45689</v>
          </cell>
          <cell r="D186">
            <v>30952.741414964967</v>
          </cell>
          <cell r="BM186">
            <v>0.84223084101246393</v>
          </cell>
        </row>
        <row r="187">
          <cell r="B187">
            <v>45717</v>
          </cell>
          <cell r="D187">
            <v>31075.167049584252</v>
          </cell>
          <cell r="BM187">
            <v>0.84556206921692378</v>
          </cell>
        </row>
        <row r="188">
          <cell r="B188">
            <v>45748</v>
          </cell>
          <cell r="D188">
            <v>30387.620252608445</v>
          </cell>
          <cell r="BM188">
            <v>0.82685377099903512</v>
          </cell>
        </row>
        <row r="189">
          <cell r="B189">
            <v>45778</v>
          </cell>
          <cell r="D189">
            <v>30159.242714510092</v>
          </cell>
          <cell r="BM189">
            <v>0.82063956840540186</v>
          </cell>
        </row>
        <row r="190">
          <cell r="B190">
            <v>45809</v>
          </cell>
          <cell r="D190">
            <v>30667.86276491404</v>
          </cell>
          <cell r="BM190">
            <v>0.83904764779195085</v>
          </cell>
        </row>
        <row r="191">
          <cell r="B191">
            <v>45839</v>
          </cell>
          <cell r="D191">
            <v>30749.773032340388</v>
          </cell>
          <cell r="BM191">
            <v>0.83625293458523942</v>
          </cell>
        </row>
        <row r="192">
          <cell r="B192">
            <v>45870</v>
          </cell>
          <cell r="D192">
            <v>30977.541385657638</v>
          </cell>
          <cell r="BM192">
            <v>0.84244719018728476</v>
          </cell>
        </row>
        <row r="193">
          <cell r="B193">
            <v>45901</v>
          </cell>
          <cell r="D193">
            <v>30649.067639677844</v>
          </cell>
          <cell r="BM193">
            <v>0.82082818163425675</v>
          </cell>
        </row>
        <row r="194">
          <cell r="B194">
            <v>45931</v>
          </cell>
          <cell r="D194">
            <v>30196.546910861165</v>
          </cell>
          <cell r="BM194">
            <v>0.80612045967097878</v>
          </cell>
        </row>
        <row r="195">
          <cell r="B195">
            <v>45962</v>
          </cell>
          <cell r="D195">
            <v>30694.801932553964</v>
          </cell>
          <cell r="BM195">
            <v>0.81942176754257201</v>
          </cell>
        </row>
        <row r="196">
          <cell r="B196">
            <v>45992</v>
          </cell>
          <cell r="D196">
            <v>31461.620603388652</v>
          </cell>
          <cell r="BM196">
            <v>0.84192666044188558</v>
          </cell>
        </row>
        <row r="197">
          <cell r="B197">
            <v>46023</v>
          </cell>
          <cell r="D197">
            <v>31110.654295631077</v>
          </cell>
          <cell r="BM197">
            <v>0.83253464929462362</v>
          </cell>
        </row>
        <row r="198">
          <cell r="B198">
            <v>46054</v>
          </cell>
          <cell r="D198">
            <v>30906.190284817323</v>
          </cell>
          <cell r="BM198">
            <v>0.82581891427411469</v>
          </cell>
        </row>
        <row r="199">
          <cell r="B199">
            <v>46082</v>
          </cell>
          <cell r="D199">
            <v>30730.685945309357</v>
          </cell>
          <cell r="BM199">
            <v>0.81936260039325748</v>
          </cell>
        </row>
        <row r="200">
          <cell r="B200">
            <v>46113</v>
          </cell>
          <cell r="D200">
            <v>30126.132396223566</v>
          </cell>
          <cell r="BM200">
            <v>0.79927974392765411</v>
          </cell>
        </row>
        <row r="201">
          <cell r="B201">
            <v>46143</v>
          </cell>
          <cell r="D201">
            <v>30051.037555168601</v>
          </cell>
          <cell r="BM201">
            <v>0.79728739441065388</v>
          </cell>
        </row>
        <row r="202">
          <cell r="B202">
            <v>46174</v>
          </cell>
          <cell r="D202">
            <v>30429.036027581922</v>
          </cell>
          <cell r="BM202">
            <v>0.80731611360573508</v>
          </cell>
        </row>
        <row r="203">
          <cell r="B203">
            <v>46204</v>
          </cell>
          <cell r="D203">
            <v>30827.766367976765</v>
          </cell>
          <cell r="BM203">
            <v>0.81789487227861823</v>
          </cell>
        </row>
        <row r="204">
          <cell r="B204">
            <v>46235</v>
          </cell>
          <cell r="D204">
            <v>30838.440607587421</v>
          </cell>
          <cell r="BM204">
            <v>0.81817807170795143</v>
          </cell>
        </row>
        <row r="205">
          <cell r="B205">
            <v>46266</v>
          </cell>
          <cell r="D205">
            <v>30939.54294295609</v>
          </cell>
          <cell r="BM205">
            <v>0.8208604289272966</v>
          </cell>
        </row>
        <row r="206">
          <cell r="B206">
            <v>46296</v>
          </cell>
          <cell r="D206">
            <v>30931.977615462289</v>
          </cell>
          <cell r="BM206">
            <v>0.82065971238849744</v>
          </cell>
        </row>
        <row r="207">
          <cell r="B207">
            <v>46327</v>
          </cell>
          <cell r="D207">
            <v>31400.622302022832</v>
          </cell>
          <cell r="BM207">
            <v>0.83309337629665048</v>
          </cell>
        </row>
        <row r="208">
          <cell r="B208">
            <v>46357</v>
          </cell>
          <cell r="D208">
            <v>31559.855586154546</v>
          </cell>
          <cell r="BM208">
            <v>0.83638823820092334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4">
          <cell r="J4" t="str">
            <v>Australia</v>
          </cell>
        </row>
        <row r="5">
          <cell r="B5">
            <v>40179</v>
          </cell>
          <cell r="C5">
            <v>4466.5647702698379</v>
          </cell>
          <cell r="IK5"/>
        </row>
        <row r="6">
          <cell r="B6">
            <v>40210</v>
          </cell>
          <cell r="C6">
            <v>4828.2200654713542</v>
          </cell>
          <cell r="IK6"/>
        </row>
        <row r="7">
          <cell r="B7">
            <v>40238</v>
          </cell>
          <cell r="C7">
            <v>4764.7186668950944</v>
          </cell>
          <cell r="IK7"/>
        </row>
        <row r="8">
          <cell r="B8">
            <v>40269</v>
          </cell>
          <cell r="C8">
            <v>4718.8058198428216</v>
          </cell>
          <cell r="IK8"/>
        </row>
        <row r="9">
          <cell r="B9">
            <v>40299</v>
          </cell>
          <cell r="C9">
            <v>4788.652482253412</v>
          </cell>
          <cell r="IK9"/>
        </row>
        <row r="10">
          <cell r="B10">
            <v>40330</v>
          </cell>
          <cell r="C10">
            <v>4902.8257006451831</v>
          </cell>
          <cell r="IK10"/>
        </row>
        <row r="11">
          <cell r="B11">
            <v>40360</v>
          </cell>
          <cell r="C11">
            <v>4937.780577261803</v>
          </cell>
          <cell r="IK11"/>
        </row>
        <row r="12">
          <cell r="B12">
            <v>40391</v>
          </cell>
          <cell r="C12">
            <v>5014.6748419570449</v>
          </cell>
          <cell r="IK12"/>
        </row>
        <row r="13">
          <cell r="B13">
            <v>40422</v>
          </cell>
          <cell r="C13">
            <v>4979.755699638532</v>
          </cell>
          <cell r="IK13"/>
        </row>
        <row r="14">
          <cell r="B14">
            <v>40452</v>
          </cell>
          <cell r="C14">
            <v>4903.7701418463566</v>
          </cell>
          <cell r="IK14"/>
        </row>
        <row r="15">
          <cell r="B15">
            <v>40483</v>
          </cell>
          <cell r="C15">
            <v>5045.9351926454865</v>
          </cell>
          <cell r="IK15"/>
        </row>
        <row r="16">
          <cell r="B16">
            <v>40513</v>
          </cell>
          <cell r="C16">
            <v>5151.2534866784627</v>
          </cell>
          <cell r="IK16"/>
        </row>
        <row r="17">
          <cell r="B17">
            <v>40544</v>
          </cell>
          <cell r="C17">
            <v>4781.8026487555153</v>
          </cell>
          <cell r="IK17"/>
        </row>
        <row r="18">
          <cell r="B18">
            <v>40575</v>
          </cell>
          <cell r="C18">
            <v>5036.6571849868315</v>
          </cell>
        </row>
        <row r="19">
          <cell r="B19">
            <v>40603</v>
          </cell>
          <cell r="C19">
            <v>4891.3462320555527</v>
          </cell>
        </row>
        <row r="20">
          <cell r="B20">
            <v>40634</v>
          </cell>
          <cell r="C20">
            <v>4866.6465896822629</v>
          </cell>
        </row>
        <row r="21">
          <cell r="B21">
            <v>40664</v>
          </cell>
          <cell r="C21">
            <v>4907.5863343156607</v>
          </cell>
        </row>
        <row r="22">
          <cell r="B22">
            <v>40695</v>
          </cell>
          <cell r="C22">
            <v>4897.5817422301989</v>
          </cell>
          <cell r="IK22"/>
        </row>
        <row r="23">
          <cell r="B23">
            <v>40725</v>
          </cell>
          <cell r="C23">
            <v>5053.2126107292534</v>
          </cell>
        </row>
        <row r="24">
          <cell r="B24">
            <v>40756</v>
          </cell>
          <cell r="C24">
            <v>5298.625473350603</v>
          </cell>
        </row>
        <row r="25">
          <cell r="B25">
            <v>40787</v>
          </cell>
          <cell r="C25">
            <v>5141.7540342634329</v>
          </cell>
        </row>
        <row r="26">
          <cell r="B26">
            <v>40817</v>
          </cell>
          <cell r="C26">
            <v>5097.4721539188831</v>
          </cell>
        </row>
        <row r="27">
          <cell r="B27">
            <v>40848</v>
          </cell>
          <cell r="C27">
            <v>5198.3772351556327</v>
          </cell>
        </row>
        <row r="28">
          <cell r="B28">
            <v>40878</v>
          </cell>
          <cell r="C28">
            <v>5416.9042032450398</v>
          </cell>
        </row>
        <row r="29">
          <cell r="B29">
            <v>40909</v>
          </cell>
          <cell r="C29">
            <v>5131.0168129263657</v>
          </cell>
          <cell r="IK29"/>
        </row>
        <row r="30">
          <cell r="B30">
            <v>40940</v>
          </cell>
          <cell r="C30">
            <v>5346.7771834868263</v>
          </cell>
        </row>
        <row r="31">
          <cell r="B31">
            <v>40969</v>
          </cell>
          <cell r="C31">
            <v>5285.114004316827</v>
          </cell>
        </row>
        <row r="32">
          <cell r="B32">
            <v>41000</v>
          </cell>
          <cell r="C32">
            <v>5128.8811842292007</v>
          </cell>
        </row>
        <row r="33">
          <cell r="B33">
            <v>41030</v>
          </cell>
          <cell r="C33">
            <v>5172.2487552217626</v>
          </cell>
        </row>
        <row r="34">
          <cell r="B34">
            <v>41061</v>
          </cell>
          <cell r="C34">
            <v>5301.2628477426406</v>
          </cell>
        </row>
        <row r="35">
          <cell r="B35">
            <v>41091</v>
          </cell>
          <cell r="C35">
            <v>5464.7754369032182</v>
          </cell>
        </row>
        <row r="36">
          <cell r="B36">
            <v>41122</v>
          </cell>
          <cell r="C36">
            <v>5589.0175599840713</v>
          </cell>
        </row>
        <row r="37">
          <cell r="B37">
            <v>41153</v>
          </cell>
          <cell r="C37">
            <v>5419.3114051664434</v>
          </cell>
        </row>
        <row r="38">
          <cell r="B38">
            <v>41183</v>
          </cell>
          <cell r="C38">
            <v>5446.1776977663558</v>
          </cell>
        </row>
        <row r="39">
          <cell r="B39">
            <v>41214</v>
          </cell>
          <cell r="C39">
            <v>5581.5705422365163</v>
          </cell>
        </row>
        <row r="40">
          <cell r="B40">
            <v>41244</v>
          </cell>
          <cell r="C40">
            <v>5733.0779239923113</v>
          </cell>
        </row>
        <row r="41">
          <cell r="B41">
            <v>41275</v>
          </cell>
          <cell r="C41">
            <v>5606.8226092396662</v>
          </cell>
          <cell r="IK41"/>
        </row>
        <row r="42">
          <cell r="B42">
            <v>41306</v>
          </cell>
          <cell r="C42">
            <v>5767.7729929185052</v>
          </cell>
        </row>
        <row r="43">
          <cell r="B43">
            <v>41334</v>
          </cell>
          <cell r="C43">
            <v>5558.9532423308237</v>
          </cell>
        </row>
        <row r="44">
          <cell r="B44">
            <v>41365</v>
          </cell>
          <cell r="C44">
            <v>5424.4863643081453</v>
          </cell>
        </row>
        <row r="45">
          <cell r="B45">
            <v>41395</v>
          </cell>
          <cell r="C45">
            <v>5624.5136762406237</v>
          </cell>
        </row>
        <row r="46">
          <cell r="B46">
            <v>41426</v>
          </cell>
          <cell r="C46">
            <v>5616.7140943941695</v>
          </cell>
        </row>
        <row r="47">
          <cell r="B47">
            <v>41456</v>
          </cell>
          <cell r="C47">
            <v>5635.0836417456039</v>
          </cell>
        </row>
        <row r="48">
          <cell r="B48">
            <v>41487</v>
          </cell>
          <cell r="C48">
            <v>5760.5895346502612</v>
          </cell>
        </row>
        <row r="49">
          <cell r="B49">
            <v>41518</v>
          </cell>
          <cell r="C49">
            <v>5438.7567996849803</v>
          </cell>
        </row>
        <row r="50">
          <cell r="B50">
            <v>41548</v>
          </cell>
          <cell r="C50">
            <v>5631.4390484853575</v>
          </cell>
        </row>
        <row r="51">
          <cell r="B51">
            <v>41579</v>
          </cell>
          <cell r="C51">
            <v>5802.0261574190527</v>
          </cell>
        </row>
        <row r="52">
          <cell r="B52">
            <v>41609</v>
          </cell>
          <cell r="C52">
            <v>5875.1432181497667</v>
          </cell>
        </row>
        <row r="53">
          <cell r="B53">
            <v>41640</v>
          </cell>
          <cell r="C53">
            <v>5526.7029382366427</v>
          </cell>
          <cell r="IK53"/>
        </row>
        <row r="54">
          <cell r="B54">
            <v>41671</v>
          </cell>
          <cell r="C54">
            <v>6058.9508200536238</v>
          </cell>
        </row>
        <row r="55">
          <cell r="B55">
            <v>41699</v>
          </cell>
          <cell r="C55">
            <v>5935.5564933768401</v>
          </cell>
        </row>
        <row r="56">
          <cell r="B56">
            <v>41730</v>
          </cell>
          <cell r="C56">
            <v>5808.2496234936334</v>
          </cell>
        </row>
        <row r="57">
          <cell r="B57">
            <v>41760</v>
          </cell>
          <cell r="C57">
            <v>5917.1095671400371</v>
          </cell>
        </row>
        <row r="58">
          <cell r="B58">
            <v>41791</v>
          </cell>
          <cell r="C58">
            <v>6056.915060934899</v>
          </cell>
        </row>
        <row r="59">
          <cell r="B59">
            <v>41821</v>
          </cell>
          <cell r="C59">
            <v>5905.6642511834216</v>
          </cell>
        </row>
        <row r="60">
          <cell r="B60">
            <v>41852</v>
          </cell>
          <cell r="C60">
            <v>5965.1947648234918</v>
          </cell>
        </row>
        <row r="61">
          <cell r="B61">
            <v>41883</v>
          </cell>
          <cell r="C61">
            <v>5974.6811009449457</v>
          </cell>
        </row>
        <row r="62">
          <cell r="B62">
            <v>41913</v>
          </cell>
          <cell r="C62">
            <v>5980.1851676631604</v>
          </cell>
        </row>
        <row r="63">
          <cell r="B63">
            <v>41944</v>
          </cell>
          <cell r="C63">
            <v>6016.133852639332</v>
          </cell>
        </row>
        <row r="64">
          <cell r="B64">
            <v>41974</v>
          </cell>
          <cell r="C64">
            <v>6300.020372338191</v>
          </cell>
          <cell r="IR64"/>
        </row>
        <row r="65">
          <cell r="B65">
            <v>42005</v>
          </cell>
          <cell r="C65">
            <v>6004.7152819284374</v>
          </cell>
          <cell r="IK65"/>
          <cell r="IR65">
            <v>162.12990715806416</v>
          </cell>
        </row>
        <row r="66">
          <cell r="B66">
            <v>42036</v>
          </cell>
          <cell r="C66">
            <v>6389.6677209761529</v>
          </cell>
          <cell r="IK66"/>
          <cell r="IR66">
            <v>-6.7549152902415699</v>
          </cell>
        </row>
        <row r="67">
          <cell r="B67">
            <v>42064</v>
          </cell>
          <cell r="C67">
            <v>6228.7395204401164</v>
          </cell>
          <cell r="IK67"/>
          <cell r="IR67">
            <v>-25.161444746970261</v>
          </cell>
        </row>
        <row r="68">
          <cell r="B68">
            <v>42095</v>
          </cell>
          <cell r="C68">
            <v>6378.180781638077</v>
          </cell>
          <cell r="IK68"/>
          <cell r="IR68">
            <v>-82.304223354574418</v>
          </cell>
        </row>
        <row r="69">
          <cell r="B69">
            <v>42125</v>
          </cell>
          <cell r="C69">
            <v>6390.4387440665359</v>
          </cell>
          <cell r="IK69"/>
          <cell r="IR69">
            <v>-89.364887298817592</v>
          </cell>
        </row>
        <row r="70">
          <cell r="B70">
            <v>42156</v>
          </cell>
          <cell r="C70">
            <v>6406.8951214022236</v>
          </cell>
          <cell r="IK70"/>
          <cell r="IR70">
            <v>35.619264763980567</v>
          </cell>
        </row>
        <row r="71">
          <cell r="B71">
            <v>42186</v>
          </cell>
          <cell r="C71">
            <v>6641.2452919937632</v>
          </cell>
          <cell r="IK71"/>
          <cell r="IR71">
            <v>-10.696707740317123</v>
          </cell>
        </row>
        <row r="72">
          <cell r="B72">
            <v>42217</v>
          </cell>
          <cell r="C72">
            <v>6695.2553311998863</v>
          </cell>
          <cell r="IK72"/>
          <cell r="IR72">
            <v>30.082246141691797</v>
          </cell>
        </row>
        <row r="73">
          <cell r="B73">
            <v>42248</v>
          </cell>
          <cell r="C73">
            <v>6531.985522591739</v>
          </cell>
          <cell r="IK73"/>
          <cell r="IR73">
            <v>33.844819503102343</v>
          </cell>
        </row>
        <row r="74">
          <cell r="B74">
            <v>42278</v>
          </cell>
          <cell r="C74">
            <v>6576.9201702008177</v>
          </cell>
          <cell r="IK74"/>
          <cell r="IR74">
            <v>-60.688154632015326</v>
          </cell>
        </row>
        <row r="75">
          <cell r="B75">
            <v>42309</v>
          </cell>
          <cell r="C75">
            <v>6527.1909688050509</v>
          </cell>
          <cell r="IK75"/>
          <cell r="IR75">
            <v>162.42637504387477</v>
          </cell>
        </row>
        <row r="76">
          <cell r="B76">
            <v>42339</v>
          </cell>
          <cell r="C76">
            <v>6498.9161761830665</v>
          </cell>
          <cell r="IK76"/>
          <cell r="IR76">
            <v>219.51403200717144</v>
          </cell>
        </row>
        <row r="77">
          <cell r="B77">
            <v>42370</v>
          </cell>
          <cell r="C77">
            <v>6548.6576018105297</v>
          </cell>
          <cell r="IK77"/>
          <cell r="IR77">
            <v>255.17332852127225</v>
          </cell>
        </row>
        <row r="78">
          <cell r="B78">
            <v>42401</v>
          </cell>
          <cell r="C78">
            <v>6797.3380687659619</v>
          </cell>
          <cell r="IK78"/>
          <cell r="IR78">
            <v>198.53292187036922</v>
          </cell>
        </row>
        <row r="79">
          <cell r="B79">
            <v>42430</v>
          </cell>
          <cell r="C79">
            <v>6992.4462032510883</v>
          </cell>
          <cell r="IK79"/>
          <cell r="IR79">
            <v>101.13198856025218</v>
          </cell>
        </row>
        <row r="80">
          <cell r="B80">
            <v>42461</v>
          </cell>
          <cell r="C80">
            <v>7059.8119791364052</v>
          </cell>
          <cell r="IK80"/>
          <cell r="IR80">
            <v>80.184464124983634</v>
          </cell>
        </row>
        <row r="81">
          <cell r="B81">
            <v>42491</v>
          </cell>
          <cell r="C81">
            <v>6812.5000131837342</v>
          </cell>
          <cell r="IK81"/>
          <cell r="IR81">
            <v>108.00142550664251</v>
          </cell>
        </row>
        <row r="82">
          <cell r="B82">
            <v>42522</v>
          </cell>
          <cell r="C82">
            <v>6711.6585524991324</v>
          </cell>
          <cell r="IK82"/>
          <cell r="IR82">
            <v>195.19134621435211</v>
          </cell>
        </row>
        <row r="83">
          <cell r="B83">
            <v>42552</v>
          </cell>
          <cell r="C83">
            <v>6774.9721053148232</v>
          </cell>
          <cell r="IK83"/>
          <cell r="IR83">
            <v>23.260139605001086</v>
          </cell>
        </row>
        <row r="84">
          <cell r="B84">
            <v>42583</v>
          </cell>
          <cell r="C84">
            <v>7112.858702352406</v>
          </cell>
          <cell r="IK84"/>
          <cell r="IR84">
            <v>-230.34109085140324</v>
          </cell>
        </row>
        <row r="85">
          <cell r="B85">
            <v>42614</v>
          </cell>
          <cell r="C85">
            <v>6676.6204840147666</v>
          </cell>
          <cell r="IK85"/>
          <cell r="IR85">
            <v>7.5559767739518406</v>
          </cell>
        </row>
        <row r="86">
          <cell r="B86">
            <v>42644</v>
          </cell>
          <cell r="C86">
            <v>6939.7490831003024</v>
          </cell>
          <cell r="IK86"/>
          <cell r="IR86">
            <v>-43.136217239470824</v>
          </cell>
        </row>
        <row r="87">
          <cell r="B87">
            <v>42675</v>
          </cell>
          <cell r="C87">
            <v>6783.4492816716265</v>
          </cell>
          <cell r="IK87"/>
          <cell r="IR87">
            <v>-46.96892438523156</v>
          </cell>
        </row>
        <row r="88">
          <cell r="B88">
            <v>42705</v>
          </cell>
          <cell r="C88">
            <v>6819.5693838555808</v>
          </cell>
          <cell r="IK88"/>
          <cell r="IR88">
            <v>118.30112393179644</v>
          </cell>
        </row>
        <row r="89">
          <cell r="B89">
            <v>42736</v>
          </cell>
          <cell r="C89">
            <v>6892.2953337902627</v>
          </cell>
          <cell r="IK89"/>
          <cell r="IR89">
            <v>246.23684163082211</v>
          </cell>
        </row>
        <row r="90">
          <cell r="B90">
            <v>42767</v>
          </cell>
          <cell r="C90">
            <v>7123.4398837227254</v>
          </cell>
          <cell r="IK90"/>
          <cell r="IR90">
            <v>249.18641687294399</v>
          </cell>
        </row>
        <row r="91">
          <cell r="B91">
            <v>42795</v>
          </cell>
          <cell r="C91">
            <v>7051.691975748824</v>
          </cell>
          <cell r="IK91"/>
          <cell r="IR91">
            <v>156.27979924954889</v>
          </cell>
        </row>
        <row r="92">
          <cell r="B92">
            <v>42826</v>
          </cell>
          <cell r="C92">
            <v>7047.5793423574605</v>
          </cell>
          <cell r="IK92"/>
          <cell r="IR92">
            <v>46.173059254233351</v>
          </cell>
        </row>
        <row r="93">
          <cell r="B93">
            <v>42856</v>
          </cell>
          <cell r="C93">
            <v>7141.8968147656142</v>
          </cell>
          <cell r="IK93"/>
          <cell r="IR93">
            <v>-69.667391080251633</v>
          </cell>
        </row>
        <row r="94">
          <cell r="B94">
            <v>42887</v>
          </cell>
          <cell r="C94">
            <v>7079.8966706868969</v>
          </cell>
          <cell r="IK94"/>
          <cell r="IR94">
            <v>-120.28087354168227</v>
          </cell>
        </row>
        <row r="95">
          <cell r="B95">
            <v>42917</v>
          </cell>
          <cell r="C95">
            <v>6994.2014384248814</v>
          </cell>
          <cell r="IK95"/>
          <cell r="IR95">
            <v>-47.029156646021249</v>
          </cell>
        </row>
        <row r="96">
          <cell r="B96">
            <v>42948</v>
          </cell>
          <cell r="C96">
            <v>7183.6319418243129</v>
          </cell>
          <cell r="IK96"/>
          <cell r="IR96">
            <v>-98.892897326526196</v>
          </cell>
        </row>
        <row r="97">
          <cell r="B97">
            <v>42979</v>
          </cell>
          <cell r="C97">
            <v>7308.5370516901448</v>
          </cell>
          <cell r="IK97"/>
          <cell r="IR97">
            <v>-92.267685305237535</v>
          </cell>
        </row>
        <row r="98">
          <cell r="B98">
            <v>43009</v>
          </cell>
          <cell r="C98">
            <v>7003.1548535075272</v>
          </cell>
          <cell r="IK98"/>
          <cell r="IR98">
            <v>30.020642677538717</v>
          </cell>
        </row>
        <row r="99">
          <cell r="B99">
            <v>43040</v>
          </cell>
          <cell r="C99">
            <v>7084.6232008311326</v>
          </cell>
          <cell r="IK99"/>
          <cell r="IR99">
            <v>135.06304284840007</v>
          </cell>
        </row>
        <row r="100">
          <cell r="B100">
            <v>43070</v>
          </cell>
          <cell r="C100">
            <v>7042.60465937361</v>
          </cell>
          <cell r="IK100"/>
          <cell r="IR100">
            <v>198.54444144793791</v>
          </cell>
        </row>
        <row r="101">
          <cell r="B101">
            <v>43101</v>
          </cell>
          <cell r="C101">
            <v>7067.8509216712282</v>
          </cell>
          <cell r="IK101">
            <v>154.32668561733138</v>
          </cell>
          <cell r="IR101">
            <v>308.56259720311084</v>
          </cell>
        </row>
        <row r="102">
          <cell r="B102">
            <v>43132</v>
          </cell>
          <cell r="C102">
            <v>7452.9509863678732</v>
          </cell>
          <cell r="IK102">
            <v>156.55561095262766</v>
          </cell>
          <cell r="IR102">
            <v>138.46339480759127</v>
          </cell>
        </row>
        <row r="103">
          <cell r="B103">
            <v>43160</v>
          </cell>
          <cell r="C103">
            <v>7180.2318080190062</v>
          </cell>
          <cell r="IK103">
            <v>156.39127600319827</v>
          </cell>
          <cell r="IR103">
            <v>177.80389539276916</v>
          </cell>
        </row>
        <row r="104">
          <cell r="B104">
            <v>43191</v>
          </cell>
          <cell r="C104">
            <v>7234.5635573632744</v>
          </cell>
          <cell r="IK104">
            <v>156.35758997881121</v>
          </cell>
          <cell r="IR104">
            <v>75.229554546306474</v>
          </cell>
        </row>
        <row r="105">
          <cell r="B105">
            <v>43221</v>
          </cell>
          <cell r="C105">
            <v>7140.3379239249016</v>
          </cell>
          <cell r="IK105">
            <v>155.50057533865754</v>
          </cell>
          <cell r="IR105">
            <v>215.82833348203491</v>
          </cell>
        </row>
        <row r="106">
          <cell r="B106">
            <v>43252</v>
          </cell>
          <cell r="C106">
            <v>7301.8731729605652</v>
          </cell>
          <cell r="IK106">
            <v>156.99278745815772</v>
          </cell>
          <cell r="IR106">
            <v>-16.369299294238488</v>
          </cell>
        </row>
        <row r="107">
          <cell r="B107">
            <v>43282</v>
          </cell>
          <cell r="C107">
            <v>7422.8135081831406</v>
          </cell>
          <cell r="IK107">
            <v>157.80612735145434</v>
          </cell>
          <cell r="IR107">
            <v>10.728045422435144</v>
          </cell>
        </row>
        <row r="108">
          <cell r="B108">
            <v>43313</v>
          </cell>
          <cell r="C108">
            <v>7401.6643645111299</v>
          </cell>
          <cell r="IK108">
            <v>158.79080848202898</v>
          </cell>
          <cell r="IR108">
            <v>-27.762537631590021</v>
          </cell>
        </row>
        <row r="109">
          <cell r="B109">
            <v>43344</v>
          </cell>
          <cell r="C109">
            <v>7286.0481409502154</v>
          </cell>
          <cell r="IK109">
            <v>155.98793618883138</v>
          </cell>
          <cell r="IR109">
            <v>96.784294243425251</v>
          </cell>
        </row>
        <row r="110">
          <cell r="B110">
            <v>43374</v>
          </cell>
          <cell r="C110">
            <v>7379.4917187578849</v>
          </cell>
          <cell r="IK110">
            <v>156.32254136770814</v>
          </cell>
          <cell r="IR110">
            <v>13.709381914245313</v>
          </cell>
        </row>
        <row r="111">
          <cell r="B111">
            <v>43405</v>
          </cell>
          <cell r="C111">
            <v>7569.3735209167389</v>
          </cell>
          <cell r="IK111">
            <v>157.50520148943099</v>
          </cell>
          <cell r="IR111">
            <v>26.580507391524065</v>
          </cell>
        </row>
        <row r="112">
          <cell r="B112">
            <v>43435</v>
          </cell>
          <cell r="C112">
            <v>7462.6474498080688</v>
          </cell>
          <cell r="IK112">
            <v>160.15768264490899</v>
          </cell>
          <cell r="IR112">
            <v>39.406406969511579</v>
          </cell>
        </row>
        <row r="113">
          <cell r="B113">
            <v>43466</v>
          </cell>
          <cell r="C113">
            <v>7219.4125428402258</v>
          </cell>
          <cell r="IK113">
            <v>168.93532165879964</v>
          </cell>
          <cell r="IR113">
            <v>252.72024868101869</v>
          </cell>
        </row>
        <row r="114">
          <cell r="B114">
            <v>43497</v>
          </cell>
          <cell r="C114">
            <v>7636.1884987337407</v>
          </cell>
          <cell r="IK114">
            <v>171.30555661967617</v>
          </cell>
          <cell r="IR114">
            <v>-43.445880356228344</v>
          </cell>
        </row>
        <row r="115">
          <cell r="B115">
            <v>43525</v>
          </cell>
          <cell r="C115">
            <v>7274.1177415618131</v>
          </cell>
          <cell r="IK115">
            <v>171.32813810265216</v>
          </cell>
          <cell r="IR115">
            <v>98.900319867311339</v>
          </cell>
        </row>
        <row r="116">
          <cell r="B116">
            <v>43556</v>
          </cell>
          <cell r="C116">
            <v>7382.2044505324357</v>
          </cell>
          <cell r="IK116">
            <v>172.41567734606198</v>
          </cell>
          <cell r="IR116">
            <v>-16.281197892082162</v>
          </cell>
        </row>
        <row r="117">
          <cell r="B117">
            <v>43586</v>
          </cell>
          <cell r="C117">
            <v>7266.3354288643923</v>
          </cell>
          <cell r="IK117">
            <v>170.66256619124229</v>
          </cell>
          <cell r="IR117">
            <v>-134.74715685924824</v>
          </cell>
        </row>
        <row r="118">
          <cell r="B118">
            <v>43617</v>
          </cell>
          <cell r="C118">
            <v>7307.9948449545409</v>
          </cell>
          <cell r="IK118">
            <v>171.24501238547114</v>
          </cell>
          <cell r="IR118">
            <v>-197.13472960209555</v>
          </cell>
        </row>
        <row r="119">
          <cell r="B119">
            <v>43647</v>
          </cell>
          <cell r="C119">
            <v>7118.7755977158231</v>
          </cell>
          <cell r="IK119">
            <v>171.621431695502</v>
          </cell>
          <cell r="IR119">
            <v>50.581045850300995</v>
          </cell>
        </row>
        <row r="120">
          <cell r="B120">
            <v>43678</v>
          </cell>
          <cell r="C120">
            <v>7404.0917774406562</v>
          </cell>
          <cell r="IK120">
            <v>173.4010447013888</v>
          </cell>
          <cell r="IR120">
            <v>-289.62245852779188</v>
          </cell>
        </row>
        <row r="121">
          <cell r="B121">
            <v>43709</v>
          </cell>
          <cell r="C121">
            <v>7315.5430619778872</v>
          </cell>
          <cell r="IK121">
            <v>171.73958738399085</v>
          </cell>
          <cell r="IR121">
            <v>73.83495793694749</v>
          </cell>
        </row>
        <row r="122">
          <cell r="B122">
            <v>43739</v>
          </cell>
          <cell r="C122">
            <v>7355.6226273161701</v>
          </cell>
          <cell r="IK122">
            <v>171.08529940707612</v>
          </cell>
          <cell r="IR122">
            <v>-77.691054157079122</v>
          </cell>
        </row>
        <row r="123">
          <cell r="B123">
            <v>43770</v>
          </cell>
          <cell r="C123">
            <v>7271.7408446849477</v>
          </cell>
          <cell r="IK123">
            <v>171.54643055336143</v>
          </cell>
          <cell r="IR123">
            <v>128.98500463479149</v>
          </cell>
        </row>
        <row r="124">
          <cell r="B124">
            <v>43800</v>
          </cell>
          <cell r="C124">
            <v>7325.0059613797739</v>
          </cell>
          <cell r="IK124">
            <v>173.42616526643724</v>
          </cell>
          <cell r="IR124">
            <v>204.66817788907264</v>
          </cell>
        </row>
        <row r="125">
          <cell r="B125">
            <v>43831</v>
          </cell>
          <cell r="C125">
            <v>7176.6862871784497</v>
          </cell>
          <cell r="IK125">
            <v>163.87811718893548</v>
          </cell>
          <cell r="IR125">
            <v>225.9784436296091</v>
          </cell>
        </row>
        <row r="126">
          <cell r="B126">
            <v>43862</v>
          </cell>
          <cell r="C126">
            <v>6247.8185564722753</v>
          </cell>
          <cell r="IK126">
            <v>150.46545219509753</v>
          </cell>
          <cell r="IR126">
            <v>205.06304683049069</v>
          </cell>
        </row>
        <row r="127">
          <cell r="B127">
            <v>43891</v>
          </cell>
          <cell r="C127">
            <v>5962.7695002232595</v>
          </cell>
          <cell r="IK127">
            <v>140.72870274099813</v>
          </cell>
          <cell r="IR127">
            <v>657.68657959165205</v>
          </cell>
        </row>
        <row r="128">
          <cell r="B128">
            <v>43922</v>
          </cell>
          <cell r="C128">
            <v>5338.3592741737684</v>
          </cell>
          <cell r="IK128">
            <v>126.88194083554508</v>
          </cell>
          <cell r="IR128">
            <v>727.93787489924136</v>
          </cell>
        </row>
        <row r="129">
          <cell r="B129">
            <v>43952</v>
          </cell>
          <cell r="C129">
            <v>6533.0436997415527</v>
          </cell>
          <cell r="IK129">
            <v>130.34374965770905</v>
          </cell>
          <cell r="IR129">
            <v>-254.3526170268311</v>
          </cell>
        </row>
        <row r="130">
          <cell r="B130">
            <v>43983</v>
          </cell>
          <cell r="C130">
            <v>7050.2947285372784</v>
          </cell>
          <cell r="IK130">
            <v>147.52023916407794</v>
          </cell>
          <cell r="IR130">
            <v>-389.19244988750734</v>
          </cell>
        </row>
        <row r="131">
          <cell r="B131">
            <v>44013</v>
          </cell>
          <cell r="C131">
            <v>7155.3817379312413</v>
          </cell>
          <cell r="IK131">
            <v>145.40967684550256</v>
          </cell>
          <cell r="IR131">
            <v>-266.4044128701118</v>
          </cell>
        </row>
        <row r="132">
          <cell r="B132">
            <v>44044</v>
          </cell>
          <cell r="C132">
            <v>7244.7581463575407</v>
          </cell>
          <cell r="IK132">
            <v>154.10031653202574</v>
          </cell>
          <cell r="IR132">
            <v>-441.09308750522791</v>
          </cell>
        </row>
        <row r="133">
          <cell r="B133">
            <v>44075</v>
          </cell>
          <cell r="C133">
            <v>7207.7195502677168</v>
          </cell>
          <cell r="IK133">
            <v>153.12583000838427</v>
          </cell>
          <cell r="IR133">
            <v>-348.17998057542007</v>
          </cell>
        </row>
        <row r="134">
          <cell r="B134">
            <v>44105</v>
          </cell>
          <cell r="C134">
            <v>6982.0058355180981</v>
          </cell>
          <cell r="IK134">
            <v>145.29158228863474</v>
          </cell>
          <cell r="IR134">
            <v>18.452188498266764</v>
          </cell>
        </row>
        <row r="135">
          <cell r="B135">
            <v>44136</v>
          </cell>
          <cell r="C135">
            <v>7254.4404202348678</v>
          </cell>
          <cell r="IK135">
            <v>151.80123194363097</v>
          </cell>
          <cell r="IR135">
            <v>-46.215436136665232</v>
          </cell>
        </row>
        <row r="136">
          <cell r="B136">
            <v>44166</v>
          </cell>
          <cell r="C136">
            <v>7185.8206266621028</v>
          </cell>
          <cell r="IK136">
            <v>167.20326521314584</v>
          </cell>
          <cell r="IR136">
            <v>-35.378211063437732</v>
          </cell>
        </row>
        <row r="137">
          <cell r="B137">
            <v>44197</v>
          </cell>
          <cell r="C137">
            <v>6982.2497839871357</v>
          </cell>
          <cell r="IK137">
            <v>174.84409244329524</v>
          </cell>
          <cell r="IR137">
            <v>350.83015728222267</v>
          </cell>
        </row>
        <row r="138">
          <cell r="B138">
            <v>44228</v>
          </cell>
          <cell r="C138">
            <v>6971.4506267471215</v>
          </cell>
          <cell r="IK138">
            <v>190.29077658508757</v>
          </cell>
          <cell r="IR138">
            <v>148.93868804729419</v>
          </cell>
        </row>
        <row r="139">
          <cell r="B139">
            <v>44256</v>
          </cell>
          <cell r="C139">
            <v>7092.5864407828594</v>
          </cell>
          <cell r="IK139">
            <v>194.03489535158312</v>
          </cell>
          <cell r="IR139">
            <v>98.040698537341996</v>
          </cell>
        </row>
        <row r="140">
          <cell r="B140">
            <v>44287</v>
          </cell>
          <cell r="C140">
            <v>6978.0931705184121</v>
          </cell>
          <cell r="IK140">
            <v>180.34868430434818</v>
          </cell>
          <cell r="IR140">
            <v>79.885957928316031</v>
          </cell>
        </row>
        <row r="141">
          <cell r="B141">
            <v>44317</v>
          </cell>
          <cell r="C141">
            <v>6858.2314687409453</v>
          </cell>
          <cell r="IK141">
            <v>169.79792859147545</v>
          </cell>
          <cell r="IR141">
            <v>233.1275595505021</v>
          </cell>
        </row>
        <row r="142">
          <cell r="B142">
            <v>44348</v>
          </cell>
          <cell r="C142">
            <v>7263.9104499851283</v>
          </cell>
          <cell r="IK142">
            <v>185.11206120685122</v>
          </cell>
          <cell r="IR142">
            <v>60.277045065214907</v>
          </cell>
        </row>
        <row r="143">
          <cell r="B143">
            <v>44378</v>
          </cell>
          <cell r="C143">
            <v>7505.0530760403517</v>
          </cell>
          <cell r="IK143">
            <v>184.91734090768301</v>
          </cell>
          <cell r="IR143">
            <v>-58.815130799659329</v>
          </cell>
        </row>
        <row r="144">
          <cell r="B144">
            <v>44409</v>
          </cell>
          <cell r="C144">
            <v>7464.2421545829702</v>
          </cell>
          <cell r="IK144">
            <v>174.82399668503282</v>
          </cell>
          <cell r="IR144">
            <v>-181.97180324111542</v>
          </cell>
        </row>
        <row r="145">
          <cell r="B145">
            <v>44440</v>
          </cell>
          <cell r="C145">
            <v>7322.2868616434471</v>
          </cell>
          <cell r="IK145">
            <v>169.96777874250964</v>
          </cell>
          <cell r="IR145">
            <v>-31.999351993012226</v>
          </cell>
        </row>
        <row r="146">
          <cell r="B146">
            <v>44470</v>
          </cell>
          <cell r="C146">
            <v>7307.948908302219</v>
          </cell>
          <cell r="IK146">
            <v>160.09153708991747</v>
          </cell>
          <cell r="IR146">
            <v>-16.114878308389564</v>
          </cell>
        </row>
        <row r="147">
          <cell r="B147">
            <v>44501</v>
          </cell>
          <cell r="C147">
            <v>7606.402061176228</v>
          </cell>
          <cell r="IK147">
            <v>180.34299614230832</v>
          </cell>
          <cell r="IR147">
            <v>116.22244506314399</v>
          </cell>
        </row>
        <row r="148">
          <cell r="B148">
            <v>44531</v>
          </cell>
          <cell r="C148">
            <v>7607.024566770725</v>
          </cell>
          <cell r="IK148">
            <v>190.85890212466958</v>
          </cell>
          <cell r="IR148">
            <v>74.183131015526499</v>
          </cell>
        </row>
        <row r="149">
          <cell r="B149">
            <v>44562</v>
          </cell>
          <cell r="C149">
            <v>7610.982027012853</v>
          </cell>
          <cell r="IK149">
            <v>183.38081506246203</v>
          </cell>
          <cell r="IR149">
            <v>110.74282671414724</v>
          </cell>
        </row>
        <row r="150">
          <cell r="B150">
            <v>44593</v>
          </cell>
          <cell r="C150">
            <v>7328.0209714517787</v>
          </cell>
          <cell r="IK150">
            <v>200.24389582278721</v>
          </cell>
          <cell r="IR150">
            <v>127.68835648933327</v>
          </cell>
        </row>
        <row r="151">
          <cell r="B151">
            <v>44621</v>
          </cell>
          <cell r="C151">
            <v>7455.1556085184839</v>
          </cell>
          <cell r="IK151">
            <v>205.15239596476988</v>
          </cell>
          <cell r="IR151">
            <v>50.569439136203243</v>
          </cell>
        </row>
        <row r="152">
          <cell r="B152">
            <v>44652</v>
          </cell>
          <cell r="C152">
            <v>6885.1511342344593</v>
          </cell>
          <cell r="IK152">
            <v>206.1263782385783</v>
          </cell>
          <cell r="IR152">
            <v>-119.4962203203338</v>
          </cell>
        </row>
        <row r="153">
          <cell r="B153">
            <v>44682</v>
          </cell>
          <cell r="C153">
            <v>7125.7576535483322</v>
          </cell>
          <cell r="IK153">
            <v>210.21170297410069</v>
          </cell>
          <cell r="IR153">
            <v>-223.72715220807839</v>
          </cell>
        </row>
        <row r="154">
          <cell r="B154">
            <v>44713</v>
          </cell>
          <cell r="C154">
            <v>7253.7858162044349</v>
          </cell>
          <cell r="IK154">
            <v>212.67467701496597</v>
          </cell>
          <cell r="IR154">
            <v>-165.31686607678313</v>
          </cell>
        </row>
        <row r="155">
          <cell r="B155">
            <v>44743</v>
          </cell>
          <cell r="C155">
            <v>7176.5840616344976</v>
          </cell>
          <cell r="IK155">
            <v>203.81278111453318</v>
          </cell>
          <cell r="IR155">
            <v>-246.2272686159275</v>
          </cell>
        </row>
        <row r="156">
          <cell r="B156">
            <v>44774</v>
          </cell>
          <cell r="C156">
            <v>7279.3877160377479</v>
          </cell>
          <cell r="IK156">
            <v>198.66802536037446</v>
          </cell>
          <cell r="IR156">
            <v>-328.93910851739849</v>
          </cell>
        </row>
        <row r="157">
          <cell r="B157">
            <v>44805</v>
          </cell>
          <cell r="C157">
            <v>7340.0965174500834</v>
          </cell>
          <cell r="IK157">
            <v>196.04446180173062</v>
          </cell>
          <cell r="IR157">
            <v>-404.02440981058152</v>
          </cell>
        </row>
        <row r="158">
          <cell r="B158">
            <v>44835</v>
          </cell>
          <cell r="C158">
            <v>7228.3727645065264</v>
          </cell>
          <cell r="IK158">
            <v>167.85117353305785</v>
          </cell>
          <cell r="IR158">
            <v>-288.49545904967988</v>
          </cell>
        </row>
        <row r="159">
          <cell r="B159">
            <v>44866</v>
          </cell>
          <cell r="C159">
            <v>7130.1665237059042</v>
          </cell>
          <cell r="IK159">
            <v>203.80510178022652</v>
          </cell>
          <cell r="IR159">
            <v>-166.16547304848092</v>
          </cell>
        </row>
        <row r="160">
          <cell r="B160">
            <v>44896</v>
          </cell>
          <cell r="C160">
            <v>7061.5845167308698</v>
          </cell>
          <cell r="IK160">
            <v>206.73499623614887</v>
          </cell>
          <cell r="IR160">
            <v>-118.15883259612724</v>
          </cell>
        </row>
        <row r="161">
          <cell r="B161">
            <v>44927</v>
          </cell>
          <cell r="C161">
            <v>7222.2513187308623</v>
          </cell>
          <cell r="IK161">
            <v>209.64497388527556</v>
          </cell>
          <cell r="IR161">
            <v>35.042065161928122</v>
          </cell>
        </row>
        <row r="162">
          <cell r="B162">
            <v>44958</v>
          </cell>
          <cell r="C162">
            <v>7481.5475015822494</v>
          </cell>
          <cell r="IK162">
            <v>221.99001483885769</v>
          </cell>
          <cell r="IR162">
            <v>26.892802507155352</v>
          </cell>
        </row>
        <row r="163">
          <cell r="B163">
            <v>44986</v>
          </cell>
          <cell r="C163">
            <v>7671.7935442026428</v>
          </cell>
          <cell r="IK163">
            <v>223.41664603634064</v>
          </cell>
          <cell r="IR163">
            <v>-279.78314656869929</v>
          </cell>
        </row>
        <row r="164">
          <cell r="B164">
            <v>45017</v>
          </cell>
          <cell r="C164">
            <v>7623.5127374450349</v>
          </cell>
          <cell r="IK164">
            <v>218.91860114763315</v>
          </cell>
          <cell r="IR164">
            <v>-252.19408195514643</v>
          </cell>
        </row>
        <row r="165">
          <cell r="B165">
            <v>45047</v>
          </cell>
          <cell r="C165">
            <v>7586.1811195711934</v>
          </cell>
          <cell r="IK165">
            <v>223.5450718005761</v>
          </cell>
          <cell r="IR165">
            <v>-192.79026773199115</v>
          </cell>
        </row>
        <row r="166">
          <cell r="B166">
            <v>45078</v>
          </cell>
          <cell r="C166">
            <v>7744.8524855376791</v>
          </cell>
          <cell r="IK166">
            <v>239.64038877952879</v>
          </cell>
          <cell r="IR166">
            <v>-402.56413159107746</v>
          </cell>
        </row>
        <row r="167">
          <cell r="B167">
            <v>45108</v>
          </cell>
          <cell r="C167">
            <v>7860.1225127291063</v>
          </cell>
          <cell r="IK167">
            <v>219.84765737179831</v>
          </cell>
          <cell r="IR167">
            <v>-329.85703217356422</v>
          </cell>
        </row>
        <row r="168">
          <cell r="B168">
            <v>45139</v>
          </cell>
          <cell r="C168">
            <v>7968.2808155085277</v>
          </cell>
          <cell r="IK168">
            <v>189.92715140665982</v>
          </cell>
          <cell r="IR168">
            <v>-154.17776536435895</v>
          </cell>
        </row>
        <row r="169">
          <cell r="B169">
            <v>45170</v>
          </cell>
          <cell r="C169">
            <v>7901.3159023700464</v>
          </cell>
          <cell r="IK169">
            <v>226.0484904874686</v>
          </cell>
          <cell r="IR169">
            <v>-195.70591969679407</v>
          </cell>
        </row>
        <row r="170">
          <cell r="B170">
            <v>45200</v>
          </cell>
          <cell r="C170">
            <v>7831.5895927362417</v>
          </cell>
          <cell r="IK170">
            <v>222.77121922767881</v>
          </cell>
          <cell r="IR170">
            <v>-380.7775470100928</v>
          </cell>
        </row>
        <row r="171">
          <cell r="B171">
            <v>45231</v>
          </cell>
          <cell r="C171">
            <v>7556.023872244933</v>
          </cell>
          <cell r="IK171">
            <v>209.93160949159426</v>
          </cell>
          <cell r="IR171">
            <v>-307.87981043249653</v>
          </cell>
        </row>
        <row r="172">
          <cell r="B172">
            <v>45261</v>
          </cell>
          <cell r="C172">
            <v>7512.4057393745679</v>
          </cell>
          <cell r="IK172">
            <v>211.19880283273517</v>
          </cell>
          <cell r="IR172">
            <v>-166.17412808397947</v>
          </cell>
        </row>
        <row r="173">
          <cell r="B173">
            <v>45292</v>
          </cell>
          <cell r="C173">
            <v>7798.0978204065104</v>
          </cell>
          <cell r="IK173">
            <v>228.10986466049698</v>
          </cell>
          <cell r="IR173">
            <v>-268.15764593202715</v>
          </cell>
        </row>
        <row r="174">
          <cell r="B174">
            <v>45323</v>
          </cell>
          <cell r="C174">
            <v>7977.9896435144174</v>
          </cell>
          <cell r="IK174">
            <v>239.25564654428575</v>
          </cell>
          <cell r="IR174">
            <v>-210.5604231592136</v>
          </cell>
        </row>
        <row r="175">
          <cell r="B175">
            <v>45352</v>
          </cell>
          <cell r="C175">
            <v>7965.6554791350645</v>
          </cell>
          <cell r="IK175">
            <v>241.14451846633159</v>
          </cell>
          <cell r="IR175">
            <v>-294.99578326748298</v>
          </cell>
        </row>
        <row r="176">
          <cell r="B176">
            <v>45383</v>
          </cell>
          <cell r="C176">
            <v>7995.8886490712512</v>
          </cell>
          <cell r="IK176">
            <v>241.98049460326041</v>
          </cell>
          <cell r="IR176">
            <v>-576.48696109147033</v>
          </cell>
        </row>
        <row r="177">
          <cell r="B177">
            <v>45413</v>
          </cell>
          <cell r="C177">
            <v>7579.5927599425113</v>
          </cell>
          <cell r="IK177">
            <v>268.06625460908549</v>
          </cell>
          <cell r="IR177">
            <v>-274.64991092254081</v>
          </cell>
        </row>
        <row r="178">
          <cell r="B178">
            <v>45444</v>
          </cell>
          <cell r="C178">
            <v>8051.1603083680666</v>
          </cell>
          <cell r="IK178">
            <v>267.40263858449345</v>
          </cell>
          <cell r="IR178">
            <v>-477.7380565083368</v>
          </cell>
        </row>
        <row r="179">
          <cell r="B179">
            <v>45474</v>
          </cell>
          <cell r="C179">
            <v>8017.974919279909</v>
          </cell>
          <cell r="IK179">
            <v>265.72675218727682</v>
          </cell>
          <cell r="IR179">
            <v>-463.87492243311453</v>
          </cell>
        </row>
        <row r="180">
          <cell r="B180">
            <v>45505</v>
          </cell>
          <cell r="C180">
            <v>8107.4157102785248</v>
          </cell>
          <cell r="IK180">
            <v>270.60798451938888</v>
          </cell>
          <cell r="IR180">
            <v>-480.39413621654433</v>
          </cell>
        </row>
        <row r="181">
          <cell r="B181">
            <v>45536</v>
          </cell>
          <cell r="C181">
            <v>8014.6437949949095</v>
          </cell>
          <cell r="IK181">
            <v>264.54055159898036</v>
          </cell>
          <cell r="IR181">
            <v>-420.00326771257141</v>
          </cell>
        </row>
        <row r="182">
          <cell r="B182">
            <v>45566</v>
          </cell>
          <cell r="C182">
            <v>7862.3667960465318</v>
          </cell>
          <cell r="IK182">
            <v>272.1473428770355</v>
          </cell>
          <cell r="IR182">
            <v>-530.23891656631463</v>
          </cell>
        </row>
        <row r="183">
          <cell r="B183">
            <v>45597</v>
          </cell>
          <cell r="C183">
            <v>7559.2483091684053</v>
          </cell>
          <cell r="IK183">
            <v>269.05299390746575</v>
          </cell>
          <cell r="IR183">
            <v>-284.5426200904393</v>
          </cell>
        </row>
        <row r="184">
          <cell r="B184">
            <v>45627</v>
          </cell>
          <cell r="C184">
            <v>7639.8829777333303</v>
          </cell>
          <cell r="IK184">
            <v>290.71431214472386</v>
          </cell>
          <cell r="IR184">
            <v>-235.88318620556552</v>
          </cell>
        </row>
        <row r="185">
          <cell r="B185">
            <v>45658</v>
          </cell>
          <cell r="C185">
            <v>7905.6245004264811</v>
          </cell>
          <cell r="IK185">
            <v>301.42338841857008</v>
          </cell>
          <cell r="IR185">
            <v>-274.39322248248436</v>
          </cell>
        </row>
        <row r="186">
          <cell r="B186">
            <v>45689</v>
          </cell>
          <cell r="C186">
            <v>8005.1674163946491</v>
          </cell>
          <cell r="IK186">
            <v>315.22611565493514</v>
          </cell>
          <cell r="IR186">
            <v>-487.9261632037846</v>
          </cell>
        </row>
        <row r="187">
          <cell r="B187">
            <v>45717</v>
          </cell>
          <cell r="C187">
            <v>7825.4469950727453</v>
          </cell>
          <cell r="IK187">
            <v>315.90567811073726</v>
          </cell>
          <cell r="IR187">
            <v>-336.15846097684653</v>
          </cell>
        </row>
        <row r="188">
          <cell r="B188">
            <v>45748</v>
          </cell>
          <cell r="C188">
            <v>7706.2808490220759</v>
          </cell>
          <cell r="IK188">
            <v>318.79722934213538</v>
          </cell>
          <cell r="IR188">
            <v>-458.53392458099034</v>
          </cell>
        </row>
        <row r="189">
          <cell r="B189">
            <v>45778</v>
          </cell>
          <cell r="C189">
            <v>7700.5329244147497</v>
          </cell>
          <cell r="IK189">
            <v>330.71781666792504</v>
          </cell>
          <cell r="IR189">
            <v>-492.7089930082393</v>
          </cell>
        </row>
        <row r="190">
          <cell r="B190">
            <v>45809</v>
          </cell>
          <cell r="C190">
            <v>7979.9006160430208</v>
          </cell>
          <cell r="IK190">
            <v>332.66495425764288</v>
          </cell>
          <cell r="IR190">
            <v>-466.86716581852716</v>
          </cell>
        </row>
        <row r="191">
          <cell r="B191">
            <v>45839</v>
          </cell>
          <cell r="C191">
            <v>8022.7668951222167</v>
          </cell>
          <cell r="IK191">
            <v>328.45723596908823</v>
          </cell>
          <cell r="IR191">
            <v>-458.78012714622929</v>
          </cell>
        </row>
        <row r="192">
          <cell r="B192">
            <v>45870</v>
          </cell>
          <cell r="C192">
            <v>8106.1435859194589</v>
          </cell>
          <cell r="IK192">
            <v>323.74339898225111</v>
          </cell>
          <cell r="IR192">
            <v>-367.20817076565578</v>
          </cell>
        </row>
        <row r="193">
          <cell r="B193">
            <v>45901</v>
          </cell>
          <cell r="C193">
            <v>7882.5775308994744</v>
          </cell>
          <cell r="IK193">
            <v>315.59572279560928</v>
          </cell>
          <cell r="IR193">
            <v>-327.55589049834299</v>
          </cell>
        </row>
        <row r="194">
          <cell r="B194">
            <v>45931</v>
          </cell>
          <cell r="C194">
            <v>8014.7416358039673</v>
          </cell>
          <cell r="IK194">
            <v>321.95079755835258</v>
          </cell>
          <cell r="IR194">
            <v>-459.82900464317572</v>
          </cell>
        </row>
        <row r="195">
          <cell r="B195">
            <v>45962</v>
          </cell>
          <cell r="C195">
            <v>7899.8359771845016</v>
          </cell>
          <cell r="IK195">
            <v>330.07164012305395</v>
          </cell>
          <cell r="IR195">
            <v>-389.64184456073792</v>
          </cell>
        </row>
        <row r="196">
          <cell r="B196">
            <v>45992</v>
          </cell>
          <cell r="C196">
            <v>7822.3911552204609</v>
          </cell>
          <cell r="IK196">
            <v>332.47424667604156</v>
          </cell>
          <cell r="IR196">
            <v>-209.33802900108475</v>
          </cell>
        </row>
        <row r="197">
          <cell r="B197">
            <v>46023</v>
          </cell>
          <cell r="C197">
            <v>7722.2976728506055</v>
          </cell>
          <cell r="IK197">
            <v>323.00188972114029</v>
          </cell>
          <cell r="IR197">
            <v>-106.47020442228882</v>
          </cell>
        </row>
        <row r="198">
          <cell r="B198">
            <v>46054</v>
          </cell>
          <cell r="C198">
            <v>8081.6562244221122</v>
          </cell>
          <cell r="IK198">
            <v>345.59942991086984</v>
          </cell>
          <cell r="IR198">
            <v>-316.11105960802411</v>
          </cell>
        </row>
        <row r="199">
          <cell r="B199">
            <v>46082</v>
          </cell>
          <cell r="C199">
            <v>7903.8784623751235</v>
          </cell>
          <cell r="IK199">
            <v>352.9266594710241</v>
          </cell>
          <cell r="IR199">
            <v>-367.19428160532152</v>
          </cell>
        </row>
        <row r="200">
          <cell r="B200">
            <v>46113</v>
          </cell>
          <cell r="C200">
            <v>7932.8372147527107</v>
          </cell>
          <cell r="IK200">
            <v>354.02727752950398</v>
          </cell>
          <cell r="IR200">
            <v>-489.21028622592024</v>
          </cell>
        </row>
        <row r="201">
          <cell r="B201">
            <v>46143</v>
          </cell>
          <cell r="C201">
            <v>7994.1228764817006</v>
          </cell>
          <cell r="IK201">
            <v>355.30196488333252</v>
          </cell>
          <cell r="IR201">
            <v>-503.86141496002597</v>
          </cell>
        </row>
        <row r="202">
          <cell r="B202">
            <v>46174</v>
          </cell>
          <cell r="C202">
            <v>7946.9577428559996</v>
          </cell>
          <cell r="IK202">
            <v>358.70541457596067</v>
          </cell>
          <cell r="IR202">
            <v>-456.9605845997072</v>
          </cell>
        </row>
        <row r="203">
          <cell r="B203">
            <v>46204</v>
          </cell>
          <cell r="C203">
            <v>8083.0009592228116</v>
          </cell>
          <cell r="IK203">
            <v>357.49116372221454</v>
          </cell>
          <cell r="IR203">
            <v>-387.814039664132</v>
          </cell>
        </row>
        <row r="204">
          <cell r="B204">
            <v>46235</v>
          </cell>
          <cell r="C204">
            <v>8229.6534721010212</v>
          </cell>
          <cell r="IK204">
            <v>350.66525083748985</v>
          </cell>
          <cell r="IR204">
            <v>-460.19064587462742</v>
          </cell>
        </row>
        <row r="205">
          <cell r="B205">
            <v>46266</v>
          </cell>
          <cell r="C205">
            <v>8036.7957618006321</v>
          </cell>
          <cell r="IK205">
            <v>345.64742159881069</v>
          </cell>
          <cell r="IR205">
            <v>-392.66976468502662</v>
          </cell>
        </row>
        <row r="206">
          <cell r="B206">
            <v>46296</v>
          </cell>
          <cell r="C206">
            <v>8127.3592488900604</v>
          </cell>
          <cell r="IK206">
            <v>341.4422916050583</v>
          </cell>
          <cell r="IR206">
            <v>-328.53880627024478</v>
          </cell>
        </row>
        <row r="207">
          <cell r="B207">
            <v>46327</v>
          </cell>
          <cell r="C207">
            <v>8019.9576942772355</v>
          </cell>
          <cell r="IK207">
            <v>356.08075215447832</v>
          </cell>
          <cell r="IR207">
            <v>-328.67819867040635</v>
          </cell>
        </row>
        <row r="208">
          <cell r="B208">
            <v>46357</v>
          </cell>
          <cell r="C208">
            <v>7957.6330800239821</v>
          </cell>
          <cell r="IK208">
            <v>369.07156479555869</v>
          </cell>
          <cell r="IR208">
            <v>-271.90686416416429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224">
          <cell r="H2224">
            <v>13119.5</v>
          </cell>
          <cell r="I2224">
            <v>1.6000000000000085</v>
          </cell>
        </row>
        <row r="2225">
          <cell r="H2225">
            <v>13119.5</v>
          </cell>
          <cell r="I2225">
            <v>1.75</v>
          </cell>
        </row>
        <row r="2226">
          <cell r="H2226">
            <v>13119.5</v>
          </cell>
          <cell r="I2226">
            <v>1.8599999999999994</v>
          </cell>
        </row>
        <row r="2227">
          <cell r="H2227">
            <v>13119.5</v>
          </cell>
          <cell r="I2227">
            <v>1.9899999999999949</v>
          </cell>
        </row>
        <row r="2228">
          <cell r="H2228">
            <v>13119.5</v>
          </cell>
          <cell r="I2228">
            <v>2.1899999999999977</v>
          </cell>
        </row>
        <row r="2229">
          <cell r="H2229">
            <v>13119.5</v>
          </cell>
          <cell r="I2229">
            <v>2.3699999999999903</v>
          </cell>
        </row>
        <row r="2230">
          <cell r="H2230">
            <v>13119.5</v>
          </cell>
          <cell r="I2230">
            <v>2.8799999999999955</v>
          </cell>
        </row>
        <row r="2231">
          <cell r="H2231">
            <v>13119.5</v>
          </cell>
          <cell r="I2231">
            <v>2.519999999999996</v>
          </cell>
        </row>
        <row r="2232">
          <cell r="H2232">
            <v>13119.5</v>
          </cell>
          <cell r="I2232">
            <v>2.8100000000000023</v>
          </cell>
        </row>
        <row r="2233">
          <cell r="H2233">
            <v>13119.5</v>
          </cell>
          <cell r="I2233">
            <v>2.8799999999999955</v>
          </cell>
        </row>
        <row r="2234">
          <cell r="H2234">
            <v>13119.5</v>
          </cell>
          <cell r="I2234">
            <v>3.3200000000000074</v>
          </cell>
        </row>
        <row r="2235">
          <cell r="H2235">
            <v>13119.5</v>
          </cell>
          <cell r="I2235">
            <v>2.9200000000000017</v>
          </cell>
        </row>
        <row r="2236">
          <cell r="H2236">
            <v>13119.5</v>
          </cell>
          <cell r="I2236">
            <v>2.6999999999999886</v>
          </cell>
        </row>
        <row r="2237">
          <cell r="H2237">
            <v>13119.5</v>
          </cell>
          <cell r="I2237">
            <v>3.0999999999999943</v>
          </cell>
        </row>
        <row r="2238">
          <cell r="H2238">
            <v>13119.5</v>
          </cell>
          <cell r="I2238">
            <v>3.0300000000000011</v>
          </cell>
        </row>
        <row r="2239">
          <cell r="H2239">
            <v>13119.5</v>
          </cell>
          <cell r="I2239">
            <v>3.1500000000000057</v>
          </cell>
        </row>
        <row r="2240">
          <cell r="H2240">
            <v>12921.75</v>
          </cell>
          <cell r="I2240">
            <v>2.7999999999999972</v>
          </cell>
        </row>
        <row r="2241">
          <cell r="H2241">
            <v>12921.75</v>
          </cell>
          <cell r="I2241">
            <v>2.3599999999999994</v>
          </cell>
        </row>
        <row r="2242">
          <cell r="H2242">
            <v>12921.75</v>
          </cell>
          <cell r="I2242">
            <v>2.269999999999996</v>
          </cell>
        </row>
        <row r="2243">
          <cell r="H2243">
            <v>12921.75</v>
          </cell>
          <cell r="I2243">
            <v>2.2999999999999972</v>
          </cell>
        </row>
        <row r="2244">
          <cell r="H2244">
            <v>12921.75</v>
          </cell>
          <cell r="I2244">
            <v>2.5799999999999983</v>
          </cell>
        </row>
        <row r="2245">
          <cell r="H2245">
            <v>12921.75</v>
          </cell>
          <cell r="I2245">
            <v>2.8000000000000114</v>
          </cell>
        </row>
        <row r="2246">
          <cell r="H2246">
            <v>12921.75</v>
          </cell>
          <cell r="I2246">
            <v>3.5</v>
          </cell>
        </row>
        <row r="2247">
          <cell r="H2247">
            <v>12921.75</v>
          </cell>
          <cell r="I2247">
            <v>3.5</v>
          </cell>
        </row>
        <row r="2248">
          <cell r="H2248">
            <v>12921.75</v>
          </cell>
          <cell r="I2248">
            <v>3.6499999999999915</v>
          </cell>
        </row>
        <row r="2249">
          <cell r="H2249">
            <v>12921.75</v>
          </cell>
          <cell r="I2249">
            <v>3.5699999999999932</v>
          </cell>
        </row>
        <row r="2250">
          <cell r="H2250">
            <v>12921.75</v>
          </cell>
          <cell r="I2250">
            <v>3.7000000000000028</v>
          </cell>
        </row>
        <row r="2251">
          <cell r="H2251">
            <v>12921.75</v>
          </cell>
          <cell r="I2251">
            <v>3.9399999999999977</v>
          </cell>
        </row>
        <row r="2252">
          <cell r="H2252">
            <v>12921.75</v>
          </cell>
          <cell r="I2252">
            <v>3.8199999999999932</v>
          </cell>
        </row>
        <row r="2253">
          <cell r="H2253">
            <v>12921.75</v>
          </cell>
          <cell r="I2253">
            <v>3.6400000000000006</v>
          </cell>
        </row>
        <row r="2254">
          <cell r="H2254">
            <v>12921.75</v>
          </cell>
          <cell r="I2254">
            <v>3.7000000000000028</v>
          </cell>
        </row>
        <row r="2255">
          <cell r="H2255">
            <v>12921.75</v>
          </cell>
          <cell r="I2255">
            <v>3.75</v>
          </cell>
        </row>
        <row r="2256">
          <cell r="H2256">
            <v>12921.75</v>
          </cell>
          <cell r="I2256">
            <v>4.0700000000000074</v>
          </cell>
        </row>
        <row r="2257">
          <cell r="H2257">
            <v>12921.75</v>
          </cell>
          <cell r="I2257">
            <v>4.1800000000000068</v>
          </cell>
        </row>
        <row r="2258">
          <cell r="H2258">
            <v>12921.75</v>
          </cell>
          <cell r="I2258">
            <v>4.1500000000000057</v>
          </cell>
        </row>
        <row r="2259">
          <cell r="H2259">
            <v>12921.75</v>
          </cell>
          <cell r="I2259">
            <v>4.1899999999999977</v>
          </cell>
        </row>
        <row r="2260">
          <cell r="H2260">
            <v>12921.75</v>
          </cell>
          <cell r="I2260">
            <v>3.960000000000008</v>
          </cell>
        </row>
        <row r="2261">
          <cell r="H2261">
            <v>12921.75</v>
          </cell>
          <cell r="I2261">
            <v>3.7000000000000028</v>
          </cell>
        </row>
        <row r="2262">
          <cell r="H2262">
            <v>12921.75</v>
          </cell>
          <cell r="I2262">
            <v>3.7099999999999937</v>
          </cell>
        </row>
        <row r="2263">
          <cell r="H2263">
            <v>13023</v>
          </cell>
          <cell r="I2263">
            <v>2.75</v>
          </cell>
        </row>
        <row r="2264">
          <cell r="H2264">
            <v>13023</v>
          </cell>
          <cell r="I2264">
            <v>2.75</v>
          </cell>
        </row>
        <row r="2265">
          <cell r="H2265">
            <v>13023</v>
          </cell>
          <cell r="I2265">
            <v>2.6999999999999886</v>
          </cell>
        </row>
        <row r="2266">
          <cell r="H2266">
            <v>13023</v>
          </cell>
          <cell r="I2266">
            <v>2.6800000000000068</v>
          </cell>
        </row>
        <row r="2267">
          <cell r="H2267">
            <v>13023</v>
          </cell>
          <cell r="I2267">
            <v>2.6499999999999915</v>
          </cell>
        </row>
        <row r="2268">
          <cell r="H2268">
            <v>13023</v>
          </cell>
          <cell r="I2268">
            <v>3.1500000000000057</v>
          </cell>
        </row>
        <row r="2269">
          <cell r="H2269">
            <v>13023</v>
          </cell>
          <cell r="I2269">
            <v>3.2700000000000102</v>
          </cell>
        </row>
        <row r="2270">
          <cell r="H2270">
            <v>13023</v>
          </cell>
          <cell r="I2270">
            <v>3.2999999999999972</v>
          </cell>
        </row>
        <row r="2271">
          <cell r="H2271">
            <v>13023</v>
          </cell>
          <cell r="I2271">
            <v>3.1400000000000006</v>
          </cell>
        </row>
        <row r="2272">
          <cell r="H2272">
            <v>13023</v>
          </cell>
          <cell r="I2272">
            <v>3.6000000000000085</v>
          </cell>
        </row>
        <row r="2273">
          <cell r="H2273">
            <v>13023</v>
          </cell>
          <cell r="I2273">
            <v>3.9200000000000017</v>
          </cell>
        </row>
        <row r="2274">
          <cell r="H2274">
            <v>13023</v>
          </cell>
          <cell r="I2274">
            <v>3.75</v>
          </cell>
        </row>
        <row r="2275">
          <cell r="H2275">
            <v>13023</v>
          </cell>
          <cell r="I2275">
            <v>3.5500000000000114</v>
          </cell>
        </row>
        <row r="2276">
          <cell r="H2276">
            <v>13023</v>
          </cell>
          <cell r="I2276">
            <v>3.1700000000000017</v>
          </cell>
        </row>
        <row r="2277">
          <cell r="H2277">
            <v>13023</v>
          </cell>
          <cell r="I2277">
            <v>2.8499999999999943</v>
          </cell>
        </row>
        <row r="2278">
          <cell r="H2278">
            <v>13023</v>
          </cell>
          <cell r="I2278">
            <v>2.539999999999992</v>
          </cell>
        </row>
        <row r="2279">
          <cell r="H2279">
            <v>13023</v>
          </cell>
          <cell r="I2279">
            <v>2.3100000000000023</v>
          </cell>
        </row>
        <row r="2280">
          <cell r="H2280">
            <v>13023</v>
          </cell>
          <cell r="I2280">
            <v>2.480000000000004</v>
          </cell>
        </row>
        <row r="2281">
          <cell r="H2281">
            <v>13023</v>
          </cell>
          <cell r="I2281">
            <v>2.2199999999999989</v>
          </cell>
        </row>
        <row r="2282">
          <cell r="H2282">
            <v>13023</v>
          </cell>
          <cell r="I2282">
            <v>2.1300000000000097</v>
          </cell>
        </row>
        <row r="2283">
          <cell r="H2283">
            <v>13023</v>
          </cell>
          <cell r="I2283">
            <v>1.8999999999999915</v>
          </cell>
        </row>
        <row r="2284">
          <cell r="H2284">
            <v>12180</v>
          </cell>
          <cell r="I2284">
            <v>0.81000000000000227</v>
          </cell>
        </row>
        <row r="2285">
          <cell r="H2285">
            <v>12180</v>
          </cell>
          <cell r="I2285">
            <v>0.86999999999999034</v>
          </cell>
        </row>
        <row r="2286">
          <cell r="H2286">
            <v>12180</v>
          </cell>
          <cell r="I2286">
            <v>0.62999999999999545</v>
          </cell>
        </row>
        <row r="2287">
          <cell r="H2287">
            <v>12180</v>
          </cell>
          <cell r="I2287">
            <v>0.75</v>
          </cell>
        </row>
        <row r="2288">
          <cell r="H2288">
            <v>12180</v>
          </cell>
          <cell r="I2288">
            <v>1</v>
          </cell>
        </row>
        <row r="2289">
          <cell r="H2289">
            <v>12180</v>
          </cell>
          <cell r="I2289">
            <v>1.269999999999996</v>
          </cell>
        </row>
        <row r="2290">
          <cell r="H2290">
            <v>12180</v>
          </cell>
          <cell r="I2290">
            <v>1.0499999999999972</v>
          </cell>
        </row>
        <row r="2291">
          <cell r="H2291">
            <v>12180</v>
          </cell>
          <cell r="I2291">
            <v>1.1999999999999886</v>
          </cell>
        </row>
        <row r="2292">
          <cell r="H2292">
            <v>12180</v>
          </cell>
          <cell r="I2292">
            <v>1.230000000000004</v>
          </cell>
        </row>
        <row r="2293">
          <cell r="H2293">
            <v>12180</v>
          </cell>
          <cell r="I2293">
            <v>1.269999999999996</v>
          </cell>
        </row>
        <row r="2294">
          <cell r="H2294">
            <v>12180</v>
          </cell>
          <cell r="I2294">
            <v>1.5999999999999943</v>
          </cell>
        </row>
        <row r="2295">
          <cell r="H2295">
            <v>12180</v>
          </cell>
          <cell r="I2295">
            <v>1.4500000000000028</v>
          </cell>
        </row>
        <row r="2296">
          <cell r="H2296">
            <v>12180</v>
          </cell>
          <cell r="I2296">
            <v>1.5900000000000034</v>
          </cell>
        </row>
        <row r="2297">
          <cell r="H2297">
            <v>12180</v>
          </cell>
          <cell r="I2297">
            <v>1.7000000000000028</v>
          </cell>
        </row>
        <row r="2298">
          <cell r="H2298">
            <v>12180</v>
          </cell>
          <cell r="I2298">
            <v>1.6899999999999977</v>
          </cell>
        </row>
        <row r="2299">
          <cell r="H2299">
            <v>12180</v>
          </cell>
          <cell r="I2299">
            <v>1.6000000000000085</v>
          </cell>
        </row>
        <row r="2300">
          <cell r="H2300">
            <v>12180</v>
          </cell>
          <cell r="I2300">
            <v>1.7399999999999949</v>
          </cell>
        </row>
        <row r="2301">
          <cell r="H2301">
            <v>12180</v>
          </cell>
          <cell r="I2301">
            <v>1.8800000000000097</v>
          </cell>
        </row>
        <row r="2302">
          <cell r="H2302">
            <v>12180</v>
          </cell>
          <cell r="I2302">
            <v>1.9699999999999989</v>
          </cell>
        </row>
        <row r="2303">
          <cell r="H2303">
            <v>12180</v>
          </cell>
          <cell r="I2303">
            <v>1.9700000000000131</v>
          </cell>
        </row>
        <row r="2304">
          <cell r="H2304">
            <v>12180</v>
          </cell>
          <cell r="I2304">
            <v>2.1200000000000045</v>
          </cell>
        </row>
        <row r="2305">
          <cell r="H2305">
            <v>12180</v>
          </cell>
          <cell r="I2305">
            <v>1.8299999999999983</v>
          </cell>
        </row>
        <row r="2306">
          <cell r="H2306">
            <v>12275.75</v>
          </cell>
          <cell r="I2306">
            <v>1.0900000000000034</v>
          </cell>
        </row>
        <row r="2307">
          <cell r="H2307">
            <v>12275.75</v>
          </cell>
          <cell r="I2307">
            <v>1.0699999999999932</v>
          </cell>
        </row>
        <row r="2308">
          <cell r="H2308">
            <v>12275.75</v>
          </cell>
          <cell r="I2308">
            <v>1.2999999999999972</v>
          </cell>
        </row>
        <row r="2309">
          <cell r="H2309">
            <v>12275.75</v>
          </cell>
          <cell r="I2309">
            <v>1.4799999999999898</v>
          </cell>
        </row>
        <row r="2310">
          <cell r="H2310">
            <v>12275.75</v>
          </cell>
          <cell r="I2310">
            <v>1.1599999999999966</v>
          </cell>
        </row>
        <row r="2311">
          <cell r="H2311">
            <v>12275.75</v>
          </cell>
          <cell r="I2311">
            <v>1.1800000000000068</v>
          </cell>
        </row>
        <row r="2312">
          <cell r="H2312">
            <v>12275.75</v>
          </cell>
          <cell r="I2312">
            <v>1.2299999999999898</v>
          </cell>
        </row>
        <row r="2313">
          <cell r="H2313">
            <v>12275.75</v>
          </cell>
          <cell r="I2313">
            <v>1.3100000000000023</v>
          </cell>
        </row>
        <row r="2314">
          <cell r="H2314">
            <v>12275.75</v>
          </cell>
          <cell r="I2314">
            <v>1.3500000000000085</v>
          </cell>
        </row>
        <row r="2315">
          <cell r="H2315">
            <v>12275.75</v>
          </cell>
          <cell r="I2315">
            <v>1.3500000000000085</v>
          </cell>
        </row>
        <row r="2316">
          <cell r="H2316">
            <v>12275.75</v>
          </cell>
          <cell r="I2316">
            <v>1.1000000000000085</v>
          </cell>
        </row>
        <row r="2317">
          <cell r="H2317">
            <v>12275.75</v>
          </cell>
          <cell r="I2317">
            <v>1.0499999999999972</v>
          </cell>
        </row>
        <row r="2318">
          <cell r="H2318">
            <v>12275.75</v>
          </cell>
          <cell r="I2318">
            <v>0.60000000000000853</v>
          </cell>
        </row>
        <row r="2319">
          <cell r="H2319">
            <v>12275.75</v>
          </cell>
          <cell r="I2319">
            <v>0.62000000000000455</v>
          </cell>
        </row>
        <row r="2320">
          <cell r="H2320">
            <v>12275.75</v>
          </cell>
          <cell r="I2320">
            <v>0.80000000000001137</v>
          </cell>
        </row>
        <row r="2321">
          <cell r="H2321">
            <v>12275.75</v>
          </cell>
          <cell r="I2321">
            <v>0.82000000000000739</v>
          </cell>
        </row>
        <row r="2322">
          <cell r="H2322">
            <v>12275.75</v>
          </cell>
          <cell r="I2322">
            <v>0.81999999999999318</v>
          </cell>
        </row>
        <row r="2323">
          <cell r="H2323">
            <v>12275.75</v>
          </cell>
          <cell r="I2323">
            <v>0.70000000000000284</v>
          </cell>
        </row>
        <row r="2324">
          <cell r="H2324">
            <v>12275.75</v>
          </cell>
          <cell r="I2324">
            <v>0.79999999999999716</v>
          </cell>
        </row>
        <row r="2325">
          <cell r="H2325">
            <v>12275.75</v>
          </cell>
          <cell r="I2325">
            <v>0.96999999999999886</v>
          </cell>
        </row>
        <row r="2326">
          <cell r="H2326">
            <v>12275.75</v>
          </cell>
          <cell r="I2326">
            <v>0.87999999999999545</v>
          </cell>
        </row>
        <row r="2327">
          <cell r="H2327">
            <v>12275.75</v>
          </cell>
          <cell r="I2327">
            <v>1.1700000000000017</v>
          </cell>
        </row>
        <row r="2328">
          <cell r="H2328">
            <v>12638</v>
          </cell>
          <cell r="I2328">
            <v>0.45000000000000284</v>
          </cell>
        </row>
        <row r="2329">
          <cell r="H2329">
            <v>12638</v>
          </cell>
          <cell r="I2329">
            <v>0.39000000000000057</v>
          </cell>
        </row>
        <row r="2330">
          <cell r="H2330">
            <v>12638</v>
          </cell>
          <cell r="I2330">
            <v>0.46999999999999886</v>
          </cell>
        </row>
        <row r="2331">
          <cell r="H2331">
            <v>12638</v>
          </cell>
          <cell r="I2331">
            <v>0.37999999999999545</v>
          </cell>
        </row>
        <row r="2332">
          <cell r="H2332">
            <v>12638</v>
          </cell>
          <cell r="I2332">
            <v>0.28999999999999204</v>
          </cell>
        </row>
        <row r="2333">
          <cell r="H2333">
            <v>12638</v>
          </cell>
          <cell r="I2333">
            <v>0.25</v>
          </cell>
        </row>
        <row r="2334">
          <cell r="H2334">
            <v>12638</v>
          </cell>
          <cell r="I2334">
            <v>0.14999999999999147</v>
          </cell>
        </row>
        <row r="2335">
          <cell r="H2335">
            <v>12638</v>
          </cell>
          <cell r="I2335">
            <v>0.17000000000000171</v>
          </cell>
        </row>
        <row r="2336">
          <cell r="H2336">
            <v>12638</v>
          </cell>
          <cell r="I2336">
            <v>0.18999999999999773</v>
          </cell>
        </row>
        <row r="2337">
          <cell r="H2337">
            <v>12638</v>
          </cell>
          <cell r="I2337">
            <v>0.34999999999999432</v>
          </cell>
        </row>
        <row r="2338">
          <cell r="H2338">
            <v>12638</v>
          </cell>
          <cell r="I2338">
            <v>0.53000000000000114</v>
          </cell>
        </row>
        <row r="2339">
          <cell r="H2339">
            <v>12638</v>
          </cell>
          <cell r="I2339">
            <v>0.5</v>
          </cell>
        </row>
        <row r="2340">
          <cell r="H2340">
            <v>12638</v>
          </cell>
          <cell r="I2340">
            <v>0.40000000000000568</v>
          </cell>
        </row>
        <row r="2341">
          <cell r="H2341">
            <v>12638</v>
          </cell>
          <cell r="I2341">
            <v>0.40000000000000568</v>
          </cell>
        </row>
        <row r="2342">
          <cell r="H2342">
            <v>12638</v>
          </cell>
          <cell r="I2342">
            <v>0.18000000000000682</v>
          </cell>
        </row>
        <row r="2343">
          <cell r="H2343">
            <v>12638</v>
          </cell>
          <cell r="I2343">
            <v>0.18999999999999773</v>
          </cell>
        </row>
        <row r="2344">
          <cell r="H2344">
            <v>12638</v>
          </cell>
          <cell r="I2344">
            <v>0.18999999999999773</v>
          </cell>
        </row>
        <row r="2345">
          <cell r="H2345">
            <v>12638</v>
          </cell>
          <cell r="I2345">
            <v>0.18999999999999773</v>
          </cell>
        </row>
        <row r="2346">
          <cell r="H2346">
            <v>12638</v>
          </cell>
          <cell r="I2346">
            <v>0.40000000000000568</v>
          </cell>
        </row>
        <row r="2347">
          <cell r="H2347">
            <v>12638</v>
          </cell>
          <cell r="I2347">
            <v>0.37999999999999545</v>
          </cell>
        </row>
        <row r="2348">
          <cell r="H2348">
            <v>12638</v>
          </cell>
          <cell r="I2348">
            <v>0.49000000000000909</v>
          </cell>
        </row>
        <row r="2349">
          <cell r="H2349">
            <v>13001.25</v>
          </cell>
          <cell r="I2349">
            <v>0.5</v>
          </cell>
        </row>
        <row r="2350">
          <cell r="H2350">
            <v>13001.25</v>
          </cell>
          <cell r="I2350">
            <v>0.5</v>
          </cell>
        </row>
        <row r="2351">
          <cell r="H2351">
            <v>13001.25</v>
          </cell>
          <cell r="I2351">
            <v>0.43999999999999773</v>
          </cell>
        </row>
        <row r="2352">
          <cell r="H2352">
            <v>13001.25</v>
          </cell>
          <cell r="I2352">
            <v>0.48000000000000398</v>
          </cell>
        </row>
        <row r="2353">
          <cell r="H2353">
            <v>13001.25</v>
          </cell>
          <cell r="I2353">
            <v>0.37999999999999545</v>
          </cell>
        </row>
        <row r="2354">
          <cell r="H2354">
            <v>13001.25</v>
          </cell>
          <cell r="I2354">
            <v>0.29999999999999716</v>
          </cell>
        </row>
        <row r="2355">
          <cell r="H2355">
            <v>13001.25</v>
          </cell>
          <cell r="I2355">
            <v>0.26999999999999602</v>
          </cell>
        </row>
        <row r="2356">
          <cell r="H2356">
            <v>13001.25</v>
          </cell>
          <cell r="I2356">
            <v>0.42999999999999261</v>
          </cell>
        </row>
        <row r="2357">
          <cell r="H2357">
            <v>13001.25</v>
          </cell>
          <cell r="I2357">
            <v>0.35999999999999943</v>
          </cell>
        </row>
        <row r="2358">
          <cell r="H2358">
            <v>13001.25</v>
          </cell>
          <cell r="I2358">
            <v>0.56999999999999318</v>
          </cell>
        </row>
        <row r="2359">
          <cell r="H2359">
            <v>13001.25</v>
          </cell>
          <cell r="I2359">
            <v>0.56000000000000227</v>
          </cell>
        </row>
        <row r="2360">
          <cell r="H2360">
            <v>13001.25</v>
          </cell>
          <cell r="I2360">
            <v>0.59000000000000341</v>
          </cell>
        </row>
        <row r="2361">
          <cell r="H2361">
            <v>13001.25</v>
          </cell>
          <cell r="I2361">
            <v>0.53999999999999204</v>
          </cell>
        </row>
        <row r="2362">
          <cell r="H2362">
            <v>13001.25</v>
          </cell>
          <cell r="I2362">
            <v>0.65000000000000568</v>
          </cell>
        </row>
        <row r="2363">
          <cell r="H2363">
            <v>13001.25</v>
          </cell>
          <cell r="I2363">
            <v>0.79999999999999716</v>
          </cell>
        </row>
        <row r="2364">
          <cell r="H2364">
            <v>13001.25</v>
          </cell>
          <cell r="I2364">
            <v>0.93999999999999773</v>
          </cell>
        </row>
        <row r="2365">
          <cell r="H2365">
            <v>13001.25</v>
          </cell>
          <cell r="I2365">
            <v>1.3400000000000034</v>
          </cell>
        </row>
        <row r="2366">
          <cell r="H2366">
            <v>13001.25</v>
          </cell>
          <cell r="I2366">
            <v>1.5599999999999881</v>
          </cell>
        </row>
        <row r="2367">
          <cell r="H2367">
            <v>13001.25</v>
          </cell>
          <cell r="I2367">
            <v>1.7900000000000063</v>
          </cell>
        </row>
        <row r="2368">
          <cell r="H2368">
            <v>13001.25</v>
          </cell>
          <cell r="I2368">
            <v>1.6300000000000097</v>
          </cell>
        </row>
        <row r="2369">
          <cell r="H2369">
            <v>13001.25</v>
          </cell>
          <cell r="I2369">
            <v>1.75</v>
          </cell>
        </row>
        <row r="2370">
          <cell r="H2370">
            <v>13001.25</v>
          </cell>
          <cell r="I2370">
            <v>1.3499999999999943</v>
          </cell>
        </row>
        <row r="2371">
          <cell r="H2371">
            <v>13001.25</v>
          </cell>
          <cell r="I2371">
            <v>1.2900000000000063</v>
          </cell>
        </row>
        <row r="2372">
          <cell r="H2372">
            <v>14068.75</v>
          </cell>
          <cell r="I2372">
            <v>1.3300000000000125</v>
          </cell>
        </row>
        <row r="2373">
          <cell r="H2373">
            <v>14068.75</v>
          </cell>
          <cell r="I2373">
            <v>1.2199999999999989</v>
          </cell>
        </row>
        <row r="2374">
          <cell r="H2374">
            <v>14068.75</v>
          </cell>
          <cell r="I2374">
            <v>1.2000000000000028</v>
          </cell>
        </row>
        <row r="2375">
          <cell r="H2375">
            <v>14068.75</v>
          </cell>
          <cell r="I2375">
            <v>1.25</v>
          </cell>
        </row>
        <row r="2376">
          <cell r="H2376">
            <v>14068.75</v>
          </cell>
          <cell r="I2376">
            <v>1.1800000000000068</v>
          </cell>
        </row>
        <row r="2377">
          <cell r="H2377">
            <v>14068.75</v>
          </cell>
          <cell r="I2377">
            <v>1.4300000000000068</v>
          </cell>
        </row>
        <row r="2378">
          <cell r="H2378">
            <v>14068.75</v>
          </cell>
          <cell r="I2378">
            <v>1.4499999999999886</v>
          </cell>
        </row>
        <row r="2379">
          <cell r="H2379">
            <v>14068.75</v>
          </cell>
          <cell r="I2379">
            <v>1.480000000000004</v>
          </cell>
        </row>
        <row r="2380">
          <cell r="H2380">
            <v>14068.75</v>
          </cell>
          <cell r="I2380">
            <v>1.480000000000004</v>
          </cell>
        </row>
        <row r="2381">
          <cell r="H2381">
            <v>14068.75</v>
          </cell>
          <cell r="I2381">
            <v>1.3999999999999915</v>
          </cell>
        </row>
        <row r="2382">
          <cell r="H2382">
            <v>14068.75</v>
          </cell>
          <cell r="I2382">
            <v>1.1499999999999915</v>
          </cell>
        </row>
        <row r="2383">
          <cell r="H2383">
            <v>14068.75</v>
          </cell>
          <cell r="I2383">
            <v>0.94000000000001194</v>
          </cell>
        </row>
        <row r="2384">
          <cell r="H2384">
            <v>14068.75</v>
          </cell>
          <cell r="I2384">
            <v>0.90000000000000568</v>
          </cell>
        </row>
        <row r="2385">
          <cell r="H2385">
            <v>14068.75</v>
          </cell>
          <cell r="I2385">
            <v>0.68000000000000682</v>
          </cell>
        </row>
        <row r="2386">
          <cell r="H2386">
            <v>14068.75</v>
          </cell>
          <cell r="I2386">
            <v>0.73000000000000398</v>
          </cell>
        </row>
        <row r="2387">
          <cell r="H2387">
            <v>14068.75</v>
          </cell>
          <cell r="I2387">
            <v>0.95999999999999375</v>
          </cell>
        </row>
        <row r="2388">
          <cell r="H2388">
            <v>14068.75</v>
          </cell>
          <cell r="I2388">
            <v>0.98000000000000398</v>
          </cell>
        </row>
        <row r="2389">
          <cell r="H2389">
            <v>14068.75</v>
          </cell>
          <cell r="I2389">
            <v>0.89999999999999147</v>
          </cell>
        </row>
        <row r="2390">
          <cell r="H2390">
            <v>14068.75</v>
          </cell>
          <cell r="I2390">
            <v>0.90999999999999659</v>
          </cell>
        </row>
        <row r="2391">
          <cell r="H2391">
            <v>14068.75</v>
          </cell>
          <cell r="I2391">
            <v>0.85000000000000853</v>
          </cell>
        </row>
        <row r="2392">
          <cell r="H2392">
            <v>14068.75</v>
          </cell>
          <cell r="I2392">
            <v>0.6600000000000108</v>
          </cell>
        </row>
        <row r="2393">
          <cell r="H2393">
            <v>15251</v>
          </cell>
          <cell r="I2393">
            <v>1.2000000000000028</v>
          </cell>
        </row>
        <row r="2394">
          <cell r="H2394">
            <v>15251</v>
          </cell>
          <cell r="I2394">
            <v>0.79999999999999716</v>
          </cell>
        </row>
        <row r="2395">
          <cell r="H2395">
            <v>15251</v>
          </cell>
          <cell r="I2395">
            <v>0.98000000000000398</v>
          </cell>
        </row>
        <row r="2396">
          <cell r="H2396">
            <v>15251</v>
          </cell>
          <cell r="I2396">
            <v>0.89999999999999147</v>
          </cell>
        </row>
        <row r="2397">
          <cell r="H2397">
            <v>15251</v>
          </cell>
          <cell r="I2397">
            <v>0.85000000000000853</v>
          </cell>
        </row>
        <row r="2398">
          <cell r="H2398">
            <v>15251</v>
          </cell>
          <cell r="I2398">
            <v>0.95999999999999375</v>
          </cell>
        </row>
        <row r="2399">
          <cell r="H2399">
            <v>15251</v>
          </cell>
          <cell r="I2399">
            <v>0.84999999999999432</v>
          </cell>
        </row>
        <row r="2486">
          <cell r="H2486">
            <v>14488.75</v>
          </cell>
          <cell r="I2486">
            <v>0.79000000000000625</v>
          </cell>
        </row>
        <row r="2487">
          <cell r="H2487">
            <v>14488.75</v>
          </cell>
          <cell r="I2487">
            <v>0.76000000000000512</v>
          </cell>
        </row>
        <row r="2488">
          <cell r="H2488">
            <v>14488.75</v>
          </cell>
          <cell r="I2488">
            <v>1.3400000000000034</v>
          </cell>
        </row>
        <row r="2489">
          <cell r="H2489">
            <v>14488.75</v>
          </cell>
          <cell r="I2489">
            <v>1.25</v>
          </cell>
        </row>
        <row r="2490">
          <cell r="H2490">
            <v>14488.75</v>
          </cell>
          <cell r="I2490">
            <v>1.1200000000000045</v>
          </cell>
        </row>
        <row r="2491">
          <cell r="H2491">
            <v>14488.75</v>
          </cell>
          <cell r="I2491">
            <v>1.0999999999999943</v>
          </cell>
        </row>
        <row r="2492">
          <cell r="H2492">
            <v>14488.75</v>
          </cell>
          <cell r="I2492">
            <v>1.1300000000000097</v>
          </cell>
        </row>
        <row r="2493">
          <cell r="H2493">
            <v>14488.75</v>
          </cell>
          <cell r="I2493">
            <v>1.0700000000000074</v>
          </cell>
        </row>
        <row r="2494">
          <cell r="H2494">
            <v>14488.75</v>
          </cell>
          <cell r="I2494">
            <v>1.1999999999999886</v>
          </cell>
        </row>
        <row r="2495">
          <cell r="H2495">
            <v>14488.75</v>
          </cell>
          <cell r="I2495">
            <v>1.3100000000000023</v>
          </cell>
        </row>
        <row r="2496">
          <cell r="H2496">
            <v>14488.75</v>
          </cell>
          <cell r="I2496">
            <v>1.2600000000000051</v>
          </cell>
        </row>
        <row r="2497">
          <cell r="H2497">
            <v>14488.75</v>
          </cell>
          <cell r="I2497">
            <v>1.3500000000000085</v>
          </cell>
        </row>
        <row r="2498">
          <cell r="H2498">
            <v>14488.75</v>
          </cell>
          <cell r="I2498">
            <v>1.5</v>
          </cell>
        </row>
        <row r="2499">
          <cell r="H2499">
            <v>14488.75</v>
          </cell>
          <cell r="I2499">
            <v>1.7399999999999949</v>
          </cell>
        </row>
        <row r="2500">
          <cell r="H2500">
            <v>14488.75</v>
          </cell>
          <cell r="I2500">
            <v>1.5799999999999983</v>
          </cell>
        </row>
        <row r="2501">
          <cell r="H2501">
            <v>14488.75</v>
          </cell>
          <cell r="I2501">
            <v>1.5499999999999972</v>
          </cell>
        </row>
        <row r="2502">
          <cell r="H2502">
            <v>15325.8</v>
          </cell>
          <cell r="I2502">
            <v>0.92000000000000171</v>
          </cell>
        </row>
        <row r="2503">
          <cell r="H2503">
            <v>15325.8</v>
          </cell>
          <cell r="I2503">
            <v>0.92999999999999261</v>
          </cell>
        </row>
        <row r="2504">
          <cell r="H2504">
            <v>15325.8</v>
          </cell>
          <cell r="I2504">
            <v>0.65000000000000568</v>
          </cell>
        </row>
        <row r="2505">
          <cell r="H2505">
            <v>15325.8</v>
          </cell>
          <cell r="I2505">
            <v>0.59999999999999432</v>
          </cell>
        </row>
        <row r="2506">
          <cell r="H2506">
            <v>15325.8</v>
          </cell>
          <cell r="I2506">
            <v>0.46999999999999886</v>
          </cell>
        </row>
        <row r="2507">
          <cell r="H2507">
            <v>15325.8</v>
          </cell>
          <cell r="I2507">
            <v>0.54999999999999716</v>
          </cell>
        </row>
        <row r="2508">
          <cell r="H2508">
            <v>15325.8</v>
          </cell>
          <cell r="I2508">
            <v>0.71000000000000796</v>
          </cell>
        </row>
        <row r="2509">
          <cell r="H2509">
            <v>15325.8</v>
          </cell>
          <cell r="I2509">
            <v>0.71000000000000796</v>
          </cell>
        </row>
        <row r="2510">
          <cell r="H2510">
            <v>15325.8</v>
          </cell>
          <cell r="I2510">
            <v>0.59000000000000341</v>
          </cell>
        </row>
        <row r="2511">
          <cell r="H2511">
            <v>15325.8</v>
          </cell>
          <cell r="I2511">
            <v>0.51999999999999602</v>
          </cell>
        </row>
        <row r="2512">
          <cell r="H2512">
            <v>15325.8</v>
          </cell>
          <cell r="I2512">
            <v>0.34999999999999432</v>
          </cell>
        </row>
        <row r="2513">
          <cell r="H2513">
            <v>15325.8</v>
          </cell>
          <cell r="I2513">
            <v>0.60000000000000853</v>
          </cell>
        </row>
        <row r="2514">
          <cell r="H2514">
            <v>15325.8</v>
          </cell>
          <cell r="I2514">
            <v>0.70000000000000284</v>
          </cell>
        </row>
        <row r="2515">
          <cell r="H2515">
            <v>15325.8</v>
          </cell>
          <cell r="I2515">
            <v>0.70999999999999375</v>
          </cell>
        </row>
        <row r="2516">
          <cell r="H2516">
            <v>15325.8</v>
          </cell>
          <cell r="I2516">
            <v>0.76999999999999602</v>
          </cell>
        </row>
        <row r="2517">
          <cell r="H2517">
            <v>15325.8</v>
          </cell>
          <cell r="I2517">
            <v>0.75</v>
          </cell>
        </row>
        <row r="2518">
          <cell r="H2518">
            <v>15325.8</v>
          </cell>
          <cell r="I2518">
            <v>0.84000000000000341</v>
          </cell>
        </row>
        <row r="2519">
          <cell r="H2519">
            <v>15325.8</v>
          </cell>
          <cell r="I2519">
            <v>1.1000000000000085</v>
          </cell>
        </row>
        <row r="2520">
          <cell r="H2520">
            <v>15325.8</v>
          </cell>
          <cell r="I2520">
            <v>1.1700000000000017</v>
          </cell>
        </row>
        <row r="2521">
          <cell r="H2521">
            <v>15325.8</v>
          </cell>
          <cell r="I2521">
            <v>0.82000000000000739</v>
          </cell>
        </row>
        <row r="2522">
          <cell r="H2522">
            <v>15325.8</v>
          </cell>
          <cell r="I2522">
            <v>0.66999999999998749</v>
          </cell>
        </row>
        <row r="2523">
          <cell r="H2523">
            <v>15325.8</v>
          </cell>
          <cell r="I2523">
            <v>0.67000000000000171</v>
          </cell>
        </row>
        <row r="2524">
          <cell r="H2524">
            <v>14740.25</v>
          </cell>
          <cell r="I2524">
            <v>0.37999999999999545</v>
          </cell>
        </row>
        <row r="2525">
          <cell r="H2525">
            <v>14740.25</v>
          </cell>
          <cell r="I2525">
            <v>0.75</v>
          </cell>
        </row>
        <row r="2526">
          <cell r="H2526">
            <v>14740.25</v>
          </cell>
          <cell r="I2526">
            <v>0.35000000000000853</v>
          </cell>
        </row>
        <row r="2527">
          <cell r="H2527">
            <v>14740.25</v>
          </cell>
          <cell r="I2527">
            <v>0.23999999999999488</v>
          </cell>
        </row>
        <row r="2528">
          <cell r="H2528">
            <v>14740.25</v>
          </cell>
          <cell r="I2528">
            <v>0.13000000000000966</v>
          </cell>
        </row>
        <row r="2529">
          <cell r="H2529">
            <v>14740.25</v>
          </cell>
          <cell r="I2529">
            <v>0.39000000000000057</v>
          </cell>
        </row>
        <row r="2530">
          <cell r="H2530">
            <v>14740.25</v>
          </cell>
          <cell r="I2530">
            <v>0.35999999999999943</v>
          </cell>
        </row>
        <row r="2531">
          <cell r="H2531">
            <v>14740.25</v>
          </cell>
          <cell r="I2531">
            <v>0.56999999999999318</v>
          </cell>
        </row>
        <row r="2532">
          <cell r="H2532">
            <v>14740.25</v>
          </cell>
          <cell r="I2532">
            <v>0.5</v>
          </cell>
        </row>
        <row r="2533">
          <cell r="H2533">
            <v>14740.25</v>
          </cell>
          <cell r="I2533">
            <v>0.29000000000000625</v>
          </cell>
        </row>
        <row r="2534">
          <cell r="H2534">
            <v>14740.25</v>
          </cell>
          <cell r="I2534">
            <v>0.5</v>
          </cell>
        </row>
        <row r="2535">
          <cell r="H2535">
            <v>14740.25</v>
          </cell>
          <cell r="I2535">
            <v>0.72999999999998977</v>
          </cell>
        </row>
        <row r="2536">
          <cell r="H2536">
            <v>14740.25</v>
          </cell>
          <cell r="I2536">
            <v>1.3499999999999943</v>
          </cell>
        </row>
        <row r="2537">
          <cell r="H2537">
            <v>14740.25</v>
          </cell>
          <cell r="I2537">
            <v>1.5</v>
          </cell>
        </row>
        <row r="2538">
          <cell r="H2538">
            <v>14740.25</v>
          </cell>
          <cell r="I2538">
            <v>1.25</v>
          </cell>
        </row>
        <row r="2539">
          <cell r="H2539">
            <v>14740.25</v>
          </cell>
          <cell r="I2539">
            <v>1.2900000000000063</v>
          </cell>
        </row>
        <row r="2540">
          <cell r="H2540">
            <v>14740.25</v>
          </cell>
          <cell r="I2540">
            <v>1.1099999999999994</v>
          </cell>
        </row>
        <row r="2541">
          <cell r="H2541">
            <v>14740.25</v>
          </cell>
          <cell r="I2541">
            <v>1.039999999999992</v>
          </cell>
        </row>
        <row r="2542">
          <cell r="H2542">
            <v>14740.25</v>
          </cell>
          <cell r="I2542">
            <v>0.79999999999999716</v>
          </cell>
        </row>
        <row r="2543">
          <cell r="H2543">
            <v>14740.25</v>
          </cell>
          <cell r="I2543">
            <v>0.73999999999999488</v>
          </cell>
        </row>
        <row r="2544">
          <cell r="H2544">
            <v>14740.25</v>
          </cell>
          <cell r="I2544">
            <v>0.20000000000000284</v>
          </cell>
        </row>
        <row r="2545">
          <cell r="H2545">
            <v>12718</v>
          </cell>
          <cell r="I2545">
            <v>-0.20000000000000284</v>
          </cell>
        </row>
        <row r="2546">
          <cell r="H2546">
            <v>12718</v>
          </cell>
          <cell r="I2546">
            <v>-8.0000000000012506E-2</v>
          </cell>
        </row>
        <row r="2547">
          <cell r="H2547">
            <v>12718</v>
          </cell>
          <cell r="I2547">
            <v>0.10000000000000853</v>
          </cell>
        </row>
        <row r="2548">
          <cell r="H2548">
            <v>12718</v>
          </cell>
          <cell r="I2548">
            <v>0.34999999999999432</v>
          </cell>
        </row>
        <row r="2549">
          <cell r="H2549">
            <v>12718</v>
          </cell>
          <cell r="I2549">
            <v>0.17999999999999261</v>
          </cell>
        </row>
        <row r="2550">
          <cell r="H2550">
            <v>12718</v>
          </cell>
          <cell r="I2550">
            <v>0.25</v>
          </cell>
        </row>
        <row r="2551">
          <cell r="H2551">
            <v>12718</v>
          </cell>
          <cell r="I2551">
            <v>0.32999999999999829</v>
          </cell>
        </row>
        <row r="2552">
          <cell r="H2552">
            <v>12718</v>
          </cell>
          <cell r="I2552">
            <v>0.45000000000000284</v>
          </cell>
        </row>
        <row r="2553">
          <cell r="H2553">
            <v>12718</v>
          </cell>
          <cell r="I2553">
            <v>0.42000000000000171</v>
          </cell>
        </row>
        <row r="2554">
          <cell r="H2554">
            <v>12718</v>
          </cell>
          <cell r="I2554">
            <v>0.32999999999999829</v>
          </cell>
        </row>
        <row r="2555">
          <cell r="H2555">
            <v>12718</v>
          </cell>
          <cell r="I2555">
            <v>-5.0000000000011369E-2</v>
          </cell>
        </row>
        <row r="2556">
          <cell r="H2556">
            <v>12718</v>
          </cell>
          <cell r="I2556">
            <v>0</v>
          </cell>
        </row>
        <row r="2557">
          <cell r="H2557">
            <v>12718</v>
          </cell>
          <cell r="I2557">
            <v>0.15000000000000568</v>
          </cell>
        </row>
        <row r="2558">
          <cell r="H2558">
            <v>12718</v>
          </cell>
          <cell r="I2558">
            <v>0.28000000000000114</v>
          </cell>
        </row>
        <row r="2559">
          <cell r="H2559">
            <v>12718</v>
          </cell>
          <cell r="I2559">
            <v>0.35999999999999943</v>
          </cell>
        </row>
        <row r="2560">
          <cell r="H2560">
            <v>12718</v>
          </cell>
          <cell r="I2560">
            <v>0.13999999999998636</v>
          </cell>
        </row>
        <row r="2561">
          <cell r="H2561">
            <v>12718</v>
          </cell>
          <cell r="I2561">
            <v>-0.14000000000000057</v>
          </cell>
        </row>
        <row r="2562">
          <cell r="H2562">
            <v>12718</v>
          </cell>
          <cell r="I2562">
            <v>-0.15999999999999659</v>
          </cell>
        </row>
        <row r="2563">
          <cell r="H2563">
            <v>12718</v>
          </cell>
          <cell r="I2563">
            <v>-0.15999999999999659</v>
          </cell>
        </row>
        <row r="2564">
          <cell r="H2564">
            <v>12718</v>
          </cell>
          <cell r="I2564">
            <v>-0.35999999999999943</v>
          </cell>
        </row>
        <row r="2565">
          <cell r="H2565">
            <v>12718</v>
          </cell>
          <cell r="I2565">
            <v>-0.23999999999999488</v>
          </cell>
        </row>
        <row r="2566">
          <cell r="H2566">
            <v>12718</v>
          </cell>
          <cell r="I2566">
            <v>-0.15999999999999659</v>
          </cell>
        </row>
        <row r="2567">
          <cell r="H2567">
            <v>12718</v>
          </cell>
          <cell r="I2567">
            <v>-9.9999999999994316E-2</v>
          </cell>
        </row>
        <row r="2568">
          <cell r="H2568">
            <v>14117</v>
          </cell>
          <cell r="I2568">
            <v>-9.9999999999994316E-2</v>
          </cell>
        </row>
        <row r="2569">
          <cell r="H2569">
            <v>14117</v>
          </cell>
          <cell r="I2569">
            <v>0.20999999999999375</v>
          </cell>
        </row>
        <row r="2570">
          <cell r="H2570">
            <v>14117</v>
          </cell>
          <cell r="I2570">
            <v>0.34000000000000341</v>
          </cell>
        </row>
        <row r="2571">
          <cell r="H2571">
            <v>14117</v>
          </cell>
          <cell r="I2571">
            <v>0.12000000000000455</v>
          </cell>
        </row>
        <row r="2572">
          <cell r="H2572">
            <v>14117</v>
          </cell>
          <cell r="I2572">
            <v>6.9999999999993179E-2</v>
          </cell>
        </row>
        <row r="2573">
          <cell r="H2573">
            <v>14117</v>
          </cell>
          <cell r="I2573">
            <v>0.17999999999999261</v>
          </cell>
        </row>
        <row r="2574">
          <cell r="H2574">
            <v>14117</v>
          </cell>
          <cell r="I2574">
            <v>-4.9999999999997158E-2</v>
          </cell>
        </row>
        <row r="2575">
          <cell r="H2575">
            <v>14117</v>
          </cell>
          <cell r="I2575">
            <v>4.9999999999997158E-2</v>
          </cell>
        </row>
        <row r="2576">
          <cell r="H2576">
            <v>14117</v>
          </cell>
          <cell r="I2576">
            <v>-7.9999999999998295E-2</v>
          </cell>
        </row>
        <row r="2577">
          <cell r="H2577">
            <v>14117</v>
          </cell>
          <cell r="I2577">
            <v>-9.0000000000003411E-2</v>
          </cell>
        </row>
        <row r="2578">
          <cell r="H2578">
            <v>14117</v>
          </cell>
          <cell r="I2578">
            <v>-8.0000000000012506E-2</v>
          </cell>
        </row>
        <row r="2579">
          <cell r="H2579">
            <v>14117</v>
          </cell>
          <cell r="I2579">
            <v>0.14000000000000057</v>
          </cell>
        </row>
        <row r="2580">
          <cell r="H2580">
            <v>14117</v>
          </cell>
          <cell r="I2580">
            <v>1.0000000000005116E-2</v>
          </cell>
        </row>
        <row r="2581">
          <cell r="H2581">
            <v>14117</v>
          </cell>
          <cell r="I2581">
            <v>9.0000000000003411E-2</v>
          </cell>
        </row>
        <row r="2582">
          <cell r="H2582">
            <v>14117</v>
          </cell>
          <cell r="I2582">
            <v>0</v>
          </cell>
        </row>
        <row r="2583">
          <cell r="H2583">
            <v>14117</v>
          </cell>
          <cell r="I2583">
            <v>-3.0000000000001137E-2</v>
          </cell>
        </row>
        <row r="2584">
          <cell r="H2584">
            <v>14117</v>
          </cell>
          <cell r="I2584">
            <v>0.10999999999999943</v>
          </cell>
        </row>
        <row r="2585">
          <cell r="H2585">
            <v>14117</v>
          </cell>
          <cell r="I2585">
            <v>0.23999999999999488</v>
          </cell>
        </row>
        <row r="2586">
          <cell r="H2586">
            <v>14117</v>
          </cell>
          <cell r="I2586">
            <v>0.36999999999999034</v>
          </cell>
        </row>
        <row r="2587">
          <cell r="H2587">
            <v>14117</v>
          </cell>
          <cell r="I2587">
            <v>0.32999999999999829</v>
          </cell>
        </row>
        <row r="2588">
          <cell r="H2588">
            <v>14117</v>
          </cell>
          <cell r="I2588">
            <v>0.46999999999999886</v>
          </cell>
        </row>
        <row r="2589">
          <cell r="H2589">
            <v>15365.25</v>
          </cell>
          <cell r="I2589">
            <v>0.39000000000000057</v>
          </cell>
        </row>
        <row r="2590">
          <cell r="H2590">
            <v>15365.25</v>
          </cell>
          <cell r="I2590">
            <v>0.46999999999999886</v>
          </cell>
        </row>
        <row r="2591">
          <cell r="H2591">
            <v>15365.25</v>
          </cell>
          <cell r="I2591">
            <v>0.48000000000000398</v>
          </cell>
        </row>
        <row r="2592">
          <cell r="H2592">
            <v>15365.25</v>
          </cell>
          <cell r="I2592">
            <v>0.30000000000001137</v>
          </cell>
        </row>
        <row r="2593">
          <cell r="H2593">
            <v>15365.25</v>
          </cell>
          <cell r="I2593">
            <v>0.29999999999999716</v>
          </cell>
        </row>
        <row r="2594">
          <cell r="H2594">
            <v>15365.25</v>
          </cell>
          <cell r="I2594">
            <v>0.29999999999999716</v>
          </cell>
        </row>
        <row r="2595">
          <cell r="H2595">
            <v>15365.25</v>
          </cell>
          <cell r="I2595">
            <v>0.48999999999999488</v>
          </cell>
        </row>
        <row r="2596">
          <cell r="H2596">
            <v>15365.25</v>
          </cell>
          <cell r="I2596">
            <v>0.53999999999999204</v>
          </cell>
        </row>
        <row r="2597">
          <cell r="H2597">
            <v>15365.25</v>
          </cell>
          <cell r="I2597">
            <v>0.54000000000000625</v>
          </cell>
        </row>
        <row r="2598">
          <cell r="H2598">
            <v>15365.25</v>
          </cell>
          <cell r="I2598">
            <v>0.51000000000000512</v>
          </cell>
        </row>
        <row r="2599">
          <cell r="H2599">
            <v>15365.25</v>
          </cell>
          <cell r="I2599">
            <v>0.37000000000000455</v>
          </cell>
        </row>
        <row r="2600">
          <cell r="H2600">
            <v>15365.25</v>
          </cell>
          <cell r="I2600">
            <v>0.37000000000000455</v>
          </cell>
        </row>
        <row r="2601">
          <cell r="H2601">
            <v>15365.25</v>
          </cell>
          <cell r="I2601">
            <v>0.38000000000000966</v>
          </cell>
        </row>
        <row r="2602">
          <cell r="H2602">
            <v>15365.25</v>
          </cell>
          <cell r="I2602">
            <v>0.31000000000000227</v>
          </cell>
        </row>
        <row r="2603">
          <cell r="H2603">
            <v>15365.25</v>
          </cell>
          <cell r="I2603">
            <v>0.23999999999999488</v>
          </cell>
        </row>
        <row r="2604">
          <cell r="H2604">
            <v>15365.25</v>
          </cell>
          <cell r="I2604">
            <v>0.25999999999999091</v>
          </cell>
        </row>
        <row r="2605">
          <cell r="H2605">
            <v>15365.25</v>
          </cell>
          <cell r="I2605">
            <v>0.25999999999999091</v>
          </cell>
        </row>
        <row r="2606">
          <cell r="H2606">
            <v>15365.25</v>
          </cell>
          <cell r="I2606">
            <v>0.25</v>
          </cell>
        </row>
        <row r="2607">
          <cell r="H2607">
            <v>15365.25</v>
          </cell>
          <cell r="I2607">
            <v>0.25</v>
          </cell>
        </row>
        <row r="2608">
          <cell r="H2608">
            <v>15365.25</v>
          </cell>
          <cell r="I2608">
            <v>0.26999999999999602</v>
          </cell>
        </row>
        <row r="2609">
          <cell r="H2609">
            <v>15365.25</v>
          </cell>
          <cell r="I2609">
            <v>0.31999999999999318</v>
          </cell>
        </row>
        <row r="2610">
          <cell r="H2610">
            <v>15365.25</v>
          </cell>
          <cell r="I2610">
            <v>0.39000000000000057</v>
          </cell>
        </row>
        <row r="2611">
          <cell r="H2611">
            <v>15307.4</v>
          </cell>
          <cell r="I2611">
            <v>0.35999999999999943</v>
          </cell>
        </row>
        <row r="2612">
          <cell r="H2612">
            <v>15307.4</v>
          </cell>
          <cell r="I2612">
            <v>0.35999999999999943</v>
          </cell>
        </row>
        <row r="2613">
          <cell r="H2613">
            <v>15307.4</v>
          </cell>
          <cell r="I2613">
            <v>0.28999999999999204</v>
          </cell>
        </row>
        <row r="2614">
          <cell r="H2614">
            <v>15307.4</v>
          </cell>
          <cell r="I2614">
            <v>0.26999999999999602</v>
          </cell>
        </row>
        <row r="2615">
          <cell r="H2615">
            <v>15307.4</v>
          </cell>
          <cell r="I2615">
            <v>0.21999999999999886</v>
          </cell>
        </row>
        <row r="2616">
          <cell r="H2616">
            <v>15307.4</v>
          </cell>
          <cell r="I2616">
            <v>0.15999999999999659</v>
          </cell>
        </row>
        <row r="2617">
          <cell r="H2617">
            <v>15307.4</v>
          </cell>
          <cell r="I2617">
            <v>0.13000000000000966</v>
          </cell>
        </row>
        <row r="2618">
          <cell r="H2618">
            <v>15307.4</v>
          </cell>
          <cell r="I2618">
            <v>0.17000000000000171</v>
          </cell>
        </row>
        <row r="2619">
          <cell r="H2619">
            <v>15307.4</v>
          </cell>
          <cell r="I2619">
            <v>0.31000000000000227</v>
          </cell>
        </row>
        <row r="2620">
          <cell r="H2620">
            <v>15307.4</v>
          </cell>
          <cell r="I2620">
            <v>0.28000000000000114</v>
          </cell>
        </row>
        <row r="2621">
          <cell r="H2621">
            <v>15307.4</v>
          </cell>
          <cell r="I2621">
            <v>0.25</v>
          </cell>
        </row>
        <row r="2622">
          <cell r="H2622">
            <v>15307.4</v>
          </cell>
          <cell r="I2622">
            <v>0.15000000000000568</v>
          </cell>
        </row>
        <row r="2623">
          <cell r="H2623">
            <v>15307.4</v>
          </cell>
          <cell r="I2623">
            <v>0</v>
          </cell>
        </row>
        <row r="2624">
          <cell r="H2624">
            <v>15307.4</v>
          </cell>
          <cell r="I2624">
            <v>0</v>
          </cell>
        </row>
        <row r="2625">
          <cell r="H2625">
            <v>15307.4</v>
          </cell>
          <cell r="I2625">
            <v>-0.26000000000000512</v>
          </cell>
        </row>
        <row r="2626">
          <cell r="H2626">
            <v>15307.4</v>
          </cell>
          <cell r="I2626">
            <v>-0.31000000000000227</v>
          </cell>
        </row>
        <row r="2627">
          <cell r="H2627">
            <v>15307.4</v>
          </cell>
          <cell r="I2627">
            <v>-0.10999999999999943</v>
          </cell>
        </row>
        <row r="2628">
          <cell r="H2628">
            <v>15307.4</v>
          </cell>
          <cell r="I2628">
            <v>-6.0000000000002274E-2</v>
          </cell>
        </row>
        <row r="2629">
          <cell r="H2629">
            <v>15307.4</v>
          </cell>
          <cell r="I2629">
            <v>0.15999999999999659</v>
          </cell>
        </row>
        <row r="2630">
          <cell r="H2630">
            <v>15307.4</v>
          </cell>
          <cell r="I2630">
            <v>0.28000000000000114</v>
          </cell>
        </row>
        <row r="2631">
          <cell r="H2631">
            <v>15307.4</v>
          </cell>
          <cell r="I2631">
            <v>0.29000000000000625</v>
          </cell>
        </row>
        <row r="2632">
          <cell r="H2632">
            <v>15307.4</v>
          </cell>
          <cell r="I2632">
            <v>0.29000000000000625</v>
          </cell>
        </row>
        <row r="2633">
          <cell r="H2633">
            <v>15307.4</v>
          </cell>
          <cell r="I2633">
            <v>0.29000000000000625</v>
          </cell>
        </row>
        <row r="2634">
          <cell r="H2634">
            <v>16122.75</v>
          </cell>
          <cell r="I2634">
            <v>0.70999999999999375</v>
          </cell>
        </row>
        <row r="2635">
          <cell r="H2635">
            <v>16122.75</v>
          </cell>
          <cell r="I2635">
            <v>0.45999999999999375</v>
          </cell>
        </row>
        <row r="2636">
          <cell r="H2636">
            <v>16122.75</v>
          </cell>
          <cell r="I2636">
            <v>0.43000000000000682</v>
          </cell>
        </row>
        <row r="2637">
          <cell r="H2637">
            <v>16122.75</v>
          </cell>
          <cell r="I2637">
            <v>0.30999999999998806</v>
          </cell>
        </row>
        <row r="2638">
          <cell r="H2638">
            <v>16122.75</v>
          </cell>
          <cell r="I2638">
            <v>0.39999999999999147</v>
          </cell>
        </row>
        <row r="2639">
          <cell r="H2639">
            <v>16122.75</v>
          </cell>
          <cell r="I2639">
            <v>0.45999999999999375</v>
          </cell>
        </row>
        <row r="2640">
          <cell r="H2640">
            <v>16122.75</v>
          </cell>
          <cell r="I2640">
            <v>0.48000000000000398</v>
          </cell>
        </row>
        <row r="2641">
          <cell r="H2641">
            <v>16122.75</v>
          </cell>
          <cell r="I2641">
            <v>0.5</v>
          </cell>
        </row>
        <row r="2642">
          <cell r="H2642">
            <v>16122.75</v>
          </cell>
          <cell r="I2642">
            <v>0.53999999999999204</v>
          </cell>
        </row>
        <row r="2643">
          <cell r="H2643">
            <v>16122.75</v>
          </cell>
          <cell r="I2643">
            <v>0.54999999999999716</v>
          </cell>
        </row>
        <row r="2644">
          <cell r="H2644">
            <v>16122.75</v>
          </cell>
          <cell r="I2644">
            <v>0.68999999999999773</v>
          </cell>
        </row>
        <row r="2645">
          <cell r="H2645">
            <v>16122.75</v>
          </cell>
          <cell r="I2645">
            <v>0.65000000000000568</v>
          </cell>
        </row>
        <row r="2646">
          <cell r="H2646">
            <v>16122.75</v>
          </cell>
          <cell r="I2646">
            <v>0.71999999999999886</v>
          </cell>
        </row>
        <row r="2647">
          <cell r="H2647">
            <v>16122.75</v>
          </cell>
          <cell r="I2647">
            <v>0.67999999999999261</v>
          </cell>
        </row>
        <row r="2648">
          <cell r="H2648">
            <v>16122.75</v>
          </cell>
          <cell r="I2648">
            <v>0.52000000000001023</v>
          </cell>
        </row>
        <row r="2649">
          <cell r="H2649">
            <v>16122.75</v>
          </cell>
          <cell r="I2649">
            <v>0.65999999999999659</v>
          </cell>
        </row>
        <row r="2650">
          <cell r="H2650">
            <v>16122.75</v>
          </cell>
          <cell r="I2650">
            <v>0.63000000000000966</v>
          </cell>
        </row>
        <row r="2651">
          <cell r="H2651">
            <v>16122.75</v>
          </cell>
          <cell r="I2651">
            <v>0.53000000000000114</v>
          </cell>
        </row>
        <row r="2652">
          <cell r="H2652">
            <v>16122.75</v>
          </cell>
          <cell r="I2652">
            <v>0.61999999999999034</v>
          </cell>
        </row>
        <row r="2653">
          <cell r="H2653">
            <v>16122.75</v>
          </cell>
          <cell r="I2653">
            <v>0.6600000000000108</v>
          </cell>
        </row>
        <row r="2654">
          <cell r="H2654">
            <v>16039.5</v>
          </cell>
          <cell r="I2654">
            <v>0.70000000000000284</v>
          </cell>
        </row>
        <row r="2655">
          <cell r="H2655">
            <v>16039.5</v>
          </cell>
          <cell r="I2655">
            <v>0.39000000000000057</v>
          </cell>
        </row>
        <row r="2656">
          <cell r="H2656">
            <v>16039.5</v>
          </cell>
          <cell r="I2656">
            <v>0.32000000000000739</v>
          </cell>
        </row>
        <row r="2657">
          <cell r="H2657">
            <v>16039.5</v>
          </cell>
          <cell r="I2657">
            <v>0.28000000000000114</v>
          </cell>
        </row>
        <row r="2658">
          <cell r="H2658">
            <v>16039.5</v>
          </cell>
          <cell r="I2658">
            <v>0.34999999999999432</v>
          </cell>
        </row>
        <row r="2659">
          <cell r="H2659">
            <v>16039.5</v>
          </cell>
          <cell r="I2659">
            <v>0.37999999999999545</v>
          </cell>
        </row>
        <row r="2660">
          <cell r="H2660">
            <v>16039.5</v>
          </cell>
          <cell r="I2660">
            <v>0.43000000000000682</v>
          </cell>
        </row>
        <row r="2661">
          <cell r="H2661">
            <v>16039.5</v>
          </cell>
          <cell r="I2661">
            <v>0.46000000000000796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AE5C5-6291-4F9D-B639-97C9BE41A4D9}">
  <dimension ref="A1:M177"/>
  <sheetViews>
    <sheetView tabSelected="1" workbookViewId="0">
      <selection activeCell="G2" sqref="G2"/>
    </sheetView>
  </sheetViews>
  <sheetFormatPr defaultRowHeight="15" x14ac:dyDescent="0.25"/>
  <cols>
    <col min="1" max="1" width="9.42578125" style="1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 s="1">
        <f ca="1">TODAY()</f>
        <v>45849</v>
      </c>
      <c r="B2" cm="1">
        <f t="array" aca="1" ref="B2" ca="1">_xlfn.XLOOKUP(TEXT(A2, "mmm-yy"), TEXT([1]Monthly!$C:$C, "mmm-yy"), [1]Monthly!$O:$O, "Not Found")</f>
        <v>69.303333333333327</v>
      </c>
      <c r="C2" cm="1">
        <f t="array" aca="1" ref="C2" ca="1">_xlfn.XLOOKUP(TEXT(A2, "mmm-yy"), TEXT([1]Monthly!$C:$C, "mmm-yy"), [1]Monthly!$P:$P, "Not Found")</f>
        <v>58.62166666666667</v>
      </c>
      <c r="D2" cm="1">
        <f t="array" aca="1" ref="D2" ca="1">_xlfn.XLOOKUP(TEXT(A2, "mmm-yy"), TEXT([1]Monthly!$C:$C, "mmm-yy"), [1]Monthly!$R:$R, "Not Found")</f>
        <v>62.389999999999993</v>
      </c>
      <c r="E2" cm="1">
        <f t="array" aca="1" ref="E2" ca="1">_xlfn.XLOOKUP(TEXT(A2, "mmm-yy"), TEXT([1]Monthly!$C:$C, "mmm-yy"), [1]Monthly!$S:$S, "Not Found")</f>
        <v>78.463333333333338</v>
      </c>
      <c r="F2" cm="1">
        <f t="array" aca="1" ref="F2" ca="1">_xlfn.XLOOKUP(TEXT(A2, "mmm-yy"), TEXT([2]RUNS!$B$5:$B$208, "mmm-yy"), [2]RUNS!$D$5:$D$208, "Not Found")</f>
        <v>30749.773032340388</v>
      </c>
      <c r="G2">
        <f>AVERAGE([3]Sheet1!$H2224,[3]Sheet1!$H2486)</f>
        <v>13804.125</v>
      </c>
      <c r="H2">
        <f>AVERAGE([3]Sheet1!$I2224,[3]Sheet1!$I2486)</f>
        <v>1.1950000000000074</v>
      </c>
      <c r="I2" cm="1">
        <f t="array" aca="1" ref="I2" ca="1">_xlfn.XLOOKUP(TEXT(A2, "mmm-yy"), TEXT([2]GASOLINE!$B$5:$B$208, "mmm-yy"), [2]GASOLINE!$IR$5:$IR$208, "Not Found")</f>
        <v>-458.78012714622929</v>
      </c>
      <c r="J2" cm="1">
        <f t="array" aca="1" ref="J2" ca="1">_xlfn.XLOOKUP(TEXT(A2, "mmm-yy"), TEXT([2]GASOLINE!$B$5:$B$208, "mmm-yy"), [2]GASOLINE!$IK$5:$IK$208, "Not Found")</f>
        <v>328.45723596908823</v>
      </c>
      <c r="K2">
        <f ca="1">IF(OR(MONTH(A2)=6, MONTH(A2)=7, MONTH(A2)=8, MONTH(A2)=9), 1, 0)</f>
        <v>1</v>
      </c>
      <c r="L2" cm="1">
        <f t="array" aca="1" ref="L2" ca="1">_xlfn.XLOOKUP(TEXT(A2, "mmm-yy"), TEXT([2]GASOLINE!$B$5:$B$208, "mmm-yy"), [2]GASOLINE!$C$5:$C$208, "Not Found")</f>
        <v>8022.7668951222167</v>
      </c>
      <c r="M2" cm="1">
        <f t="array" aca="1" ref="M2" ca="1">_xlfn.XLOOKUP(TEXT(A2, "mmm-yy"), TEXT([2]RUNS!$B$5:$B$208, "mmm-yy"), [2]RUNS!$BM$5:$BM$208, "Not Found")</f>
        <v>0.83625293458523942</v>
      </c>
    </row>
    <row r="3" spans="1:13" x14ac:dyDescent="0.25">
      <c r="A3" s="1">
        <f ca="1">A2+1</f>
        <v>45850</v>
      </c>
      <c r="B3" cm="1">
        <f t="array" aca="1" ref="B3" ca="1">_xlfn.XLOOKUP(TEXT(A3, "mmm-yy"), TEXT([1]Monthly!$C:$C, "mmm-yy"), [1]Monthly!$O:$O, "Not Found")</f>
        <v>69.303333333333327</v>
      </c>
      <c r="C3" cm="1">
        <f t="array" aca="1" ref="C3" ca="1">_xlfn.XLOOKUP(TEXT(A3, "mmm-yy"), TEXT([1]Monthly!$C:$C, "mmm-yy"), [1]Monthly!$P:$P, "Not Found")</f>
        <v>58.62166666666667</v>
      </c>
      <c r="D3" cm="1">
        <f t="array" aca="1" ref="D3" ca="1">_xlfn.XLOOKUP(TEXT(A3, "mmm-yy"), TEXT([1]Monthly!$C:$C, "mmm-yy"), [1]Monthly!$R:$R, "Not Found")</f>
        <v>62.389999999999993</v>
      </c>
      <c r="E3" cm="1">
        <f t="array" aca="1" ref="E3" ca="1">_xlfn.XLOOKUP(TEXT(A3, "mmm-yy"), TEXT([1]Monthly!$C:$C, "mmm-yy"), [1]Monthly!$S:$S, "Not Found")</f>
        <v>78.463333333333338</v>
      </c>
      <c r="F3" cm="1">
        <f t="array" aca="1" ref="F3" ca="1">_xlfn.XLOOKUP(TEXT(A3, "mmm-yy"), TEXT([2]RUNS!$B$5:$B$208, "mmm-yy"), [2]RUNS!$D$5:$D$208, "Not Found")</f>
        <v>30749.773032340388</v>
      </c>
      <c r="G3">
        <f>AVERAGE([3]Sheet1!$H2225,[3]Sheet1!$H2487)</f>
        <v>13804.125</v>
      </c>
      <c r="H3">
        <f>AVERAGE([3]Sheet1!$I2225,[3]Sheet1!$I2487)</f>
        <v>1.2550000000000026</v>
      </c>
      <c r="I3" cm="1">
        <f t="array" aca="1" ref="I3" ca="1">_xlfn.XLOOKUP(TEXT(A3, "mmm-yy"), TEXT([2]GASOLINE!$B$5:$B$208, "mmm-yy"), [2]GASOLINE!$IR$5:$IR$208, "Not Found")</f>
        <v>-458.78012714622929</v>
      </c>
      <c r="J3" cm="1">
        <f t="array" aca="1" ref="J3" ca="1">_xlfn.XLOOKUP(TEXT(A3, "mmm-yy"), TEXT([2]GASOLINE!$B$5:$B$208, "mmm-yy"), [2]GASOLINE!$IK$5:$IK$208, "Not Found")</f>
        <v>328.45723596908823</v>
      </c>
      <c r="K3">
        <f t="shared" ref="K3:K66" ca="1" si="0">IF(OR(MONTH(A3)=6, MONTH(A3)=7, MONTH(A3)=8, MONTH(A3)=9), 1, 0)</f>
        <v>1</v>
      </c>
      <c r="L3" cm="1">
        <f t="array" aca="1" ref="L3" ca="1">_xlfn.XLOOKUP(TEXT(A3, "mmm-yy"), TEXT([2]GASOLINE!$B$5:$B$208, "mmm-yy"), [2]GASOLINE!$C$5:$C$208, "Not Found")</f>
        <v>8022.7668951222167</v>
      </c>
      <c r="M3" cm="1">
        <f t="array" aca="1" ref="M3" ca="1">_xlfn.XLOOKUP(TEXT(A3, "mmm-yy"), TEXT([2]RUNS!$B$5:$B$208, "mmm-yy"), [2]RUNS!$BM$5:$BM$208, "Not Found")</f>
        <v>0.83625293458523942</v>
      </c>
    </row>
    <row r="4" spans="1:13" x14ac:dyDescent="0.25">
      <c r="A4" s="1">
        <f t="shared" ref="A4:A68" ca="1" si="1">A3+1</f>
        <v>45851</v>
      </c>
      <c r="B4" cm="1">
        <f t="array" aca="1" ref="B4" ca="1">_xlfn.XLOOKUP(TEXT(A4, "mmm-yy"), TEXT([1]Monthly!$C:$C, "mmm-yy"), [1]Monthly!$O:$O, "Not Found")</f>
        <v>69.303333333333327</v>
      </c>
      <c r="C4" cm="1">
        <f t="array" aca="1" ref="C4" ca="1">_xlfn.XLOOKUP(TEXT(A4, "mmm-yy"), TEXT([1]Monthly!$C:$C, "mmm-yy"), [1]Monthly!$P:$P, "Not Found")</f>
        <v>58.62166666666667</v>
      </c>
      <c r="D4" cm="1">
        <f t="array" aca="1" ref="D4" ca="1">_xlfn.XLOOKUP(TEXT(A4, "mmm-yy"), TEXT([1]Monthly!$C:$C, "mmm-yy"), [1]Monthly!$R:$R, "Not Found")</f>
        <v>62.389999999999993</v>
      </c>
      <c r="E4" cm="1">
        <f t="array" aca="1" ref="E4" ca="1">_xlfn.XLOOKUP(TEXT(A4, "mmm-yy"), TEXT([1]Monthly!$C:$C, "mmm-yy"), [1]Monthly!$S:$S, "Not Found")</f>
        <v>78.463333333333338</v>
      </c>
      <c r="F4" cm="1">
        <f t="array" aca="1" ref="F4" ca="1">_xlfn.XLOOKUP(TEXT(A4, "mmm-yy"), TEXT([2]RUNS!$B$5:$B$208, "mmm-yy"), [2]RUNS!$D$5:$D$208, "Not Found")</f>
        <v>30749.773032340388</v>
      </c>
      <c r="G4">
        <f>AVERAGE([3]Sheet1!$H2226,[3]Sheet1!$H2488)</f>
        <v>13804.125</v>
      </c>
      <c r="H4">
        <f>AVERAGE([3]Sheet1!$I2226,[3]Sheet1!$I2488)</f>
        <v>1.6000000000000014</v>
      </c>
      <c r="I4" cm="1">
        <f t="array" aca="1" ref="I4" ca="1">_xlfn.XLOOKUP(TEXT(A4, "mmm-yy"), TEXT([2]GASOLINE!$B$5:$B$208, "mmm-yy"), [2]GASOLINE!$IR$5:$IR$208, "Not Found")</f>
        <v>-458.78012714622929</v>
      </c>
      <c r="J4" cm="1">
        <f t="array" aca="1" ref="J4" ca="1">_xlfn.XLOOKUP(TEXT(A4, "mmm-yy"), TEXT([2]GASOLINE!$B$5:$B$208, "mmm-yy"), [2]GASOLINE!$IK$5:$IK$208, "Not Found")</f>
        <v>328.45723596908823</v>
      </c>
      <c r="K4">
        <f t="shared" ca="1" si="0"/>
        <v>1</v>
      </c>
      <c r="L4" cm="1">
        <f t="array" aca="1" ref="L4" ca="1">_xlfn.XLOOKUP(TEXT(A4, "mmm-yy"), TEXT([2]GASOLINE!$B$5:$B$208, "mmm-yy"), [2]GASOLINE!$C$5:$C$208, "Not Found")</f>
        <v>8022.7668951222167</v>
      </c>
      <c r="M4" cm="1">
        <f t="array" aca="1" ref="M4" ca="1">_xlfn.XLOOKUP(TEXT(A4, "mmm-yy"), TEXT([2]RUNS!$B$5:$B$208, "mmm-yy"), [2]RUNS!$BM$5:$BM$208, "Not Found")</f>
        <v>0.83625293458523942</v>
      </c>
    </row>
    <row r="5" spans="1:13" x14ac:dyDescent="0.25">
      <c r="A5" s="1">
        <f t="shared" ca="1" si="1"/>
        <v>45852</v>
      </c>
      <c r="B5" cm="1">
        <f t="array" aca="1" ref="B5" ca="1">_xlfn.XLOOKUP(TEXT(A5, "mmm-yy"), TEXT([1]Monthly!$C:$C, "mmm-yy"), [1]Monthly!$O:$O, "Not Found")</f>
        <v>69.303333333333327</v>
      </c>
      <c r="C5" cm="1">
        <f t="array" aca="1" ref="C5" ca="1">_xlfn.XLOOKUP(TEXT(A5, "mmm-yy"), TEXT([1]Monthly!$C:$C, "mmm-yy"), [1]Monthly!$P:$P, "Not Found")</f>
        <v>58.62166666666667</v>
      </c>
      <c r="D5" cm="1">
        <f t="array" aca="1" ref="D5" ca="1">_xlfn.XLOOKUP(TEXT(A5, "mmm-yy"), TEXT([1]Monthly!$C:$C, "mmm-yy"), [1]Monthly!$R:$R, "Not Found")</f>
        <v>62.389999999999993</v>
      </c>
      <c r="E5" cm="1">
        <f t="array" aca="1" ref="E5" ca="1">_xlfn.XLOOKUP(TEXT(A5, "mmm-yy"), TEXT([1]Monthly!$C:$C, "mmm-yy"), [1]Monthly!$S:$S, "Not Found")</f>
        <v>78.463333333333338</v>
      </c>
      <c r="F5" cm="1">
        <f t="array" aca="1" ref="F5" ca="1">_xlfn.XLOOKUP(TEXT(A5, "mmm-yy"), TEXT([2]RUNS!$B$5:$B$208, "mmm-yy"), [2]RUNS!$D$5:$D$208, "Not Found")</f>
        <v>30749.773032340388</v>
      </c>
      <c r="G5">
        <f>AVERAGE([3]Sheet1!$H2227,[3]Sheet1!$H2489)</f>
        <v>13804.125</v>
      </c>
      <c r="H5">
        <f>AVERAGE([3]Sheet1!$I2227,[3]Sheet1!$I2489)</f>
        <v>1.6199999999999974</v>
      </c>
      <c r="I5" cm="1">
        <f t="array" aca="1" ref="I5" ca="1">_xlfn.XLOOKUP(TEXT(A5, "mmm-yy"), TEXT([2]GASOLINE!$B$5:$B$208, "mmm-yy"), [2]GASOLINE!$IR$5:$IR$208, "Not Found")</f>
        <v>-458.78012714622929</v>
      </c>
      <c r="J5" cm="1">
        <f t="array" aca="1" ref="J5" ca="1">_xlfn.XLOOKUP(TEXT(A5, "mmm-yy"), TEXT([2]GASOLINE!$B$5:$B$208, "mmm-yy"), [2]GASOLINE!$IK$5:$IK$208, "Not Found")</f>
        <v>328.45723596908823</v>
      </c>
      <c r="K5">
        <f t="shared" ca="1" si="0"/>
        <v>1</v>
      </c>
      <c r="L5" cm="1">
        <f t="array" aca="1" ref="L5" ca="1">_xlfn.XLOOKUP(TEXT(A5, "mmm-yy"), TEXT([2]GASOLINE!$B$5:$B$208, "mmm-yy"), [2]GASOLINE!$C$5:$C$208, "Not Found")</f>
        <v>8022.7668951222167</v>
      </c>
      <c r="M5" cm="1">
        <f t="array" aca="1" ref="M5" ca="1">_xlfn.XLOOKUP(TEXT(A5, "mmm-yy"), TEXT([2]RUNS!$B$5:$B$208, "mmm-yy"), [2]RUNS!$BM$5:$BM$208, "Not Found")</f>
        <v>0.83625293458523942</v>
      </c>
    </row>
    <row r="6" spans="1:13" x14ac:dyDescent="0.25">
      <c r="A6" s="1">
        <f t="shared" ca="1" si="1"/>
        <v>45853</v>
      </c>
      <c r="B6" cm="1">
        <f t="array" aca="1" ref="B6" ca="1">_xlfn.XLOOKUP(TEXT(A6, "mmm-yy"), TEXT([1]Monthly!$C:$C, "mmm-yy"), [1]Monthly!$O:$O, "Not Found")</f>
        <v>69.303333333333327</v>
      </c>
      <c r="C6" cm="1">
        <f t="array" aca="1" ref="C6" ca="1">_xlfn.XLOOKUP(TEXT(A6, "mmm-yy"), TEXT([1]Monthly!$C:$C, "mmm-yy"), [1]Monthly!$P:$P, "Not Found")</f>
        <v>58.62166666666667</v>
      </c>
      <c r="D6" cm="1">
        <f t="array" aca="1" ref="D6" ca="1">_xlfn.XLOOKUP(TEXT(A6, "mmm-yy"), TEXT([1]Monthly!$C:$C, "mmm-yy"), [1]Monthly!$R:$R, "Not Found")</f>
        <v>62.389999999999993</v>
      </c>
      <c r="E6" cm="1">
        <f t="array" aca="1" ref="E6" ca="1">_xlfn.XLOOKUP(TEXT(A6, "mmm-yy"), TEXT([1]Monthly!$C:$C, "mmm-yy"), [1]Monthly!$S:$S, "Not Found")</f>
        <v>78.463333333333338</v>
      </c>
      <c r="F6" cm="1">
        <f t="array" aca="1" ref="F6" ca="1">_xlfn.XLOOKUP(TEXT(A6, "mmm-yy"), TEXT([2]RUNS!$B$5:$B$208, "mmm-yy"), [2]RUNS!$D$5:$D$208, "Not Found")</f>
        <v>30749.773032340388</v>
      </c>
      <c r="G6">
        <f>AVERAGE([3]Sheet1!$H2228,[3]Sheet1!$H2490)</f>
        <v>13804.125</v>
      </c>
      <c r="H6">
        <f>AVERAGE([3]Sheet1!$I2228,[3]Sheet1!$I2490)</f>
        <v>1.6550000000000011</v>
      </c>
      <c r="I6" cm="1">
        <f t="array" aca="1" ref="I6" ca="1">_xlfn.XLOOKUP(TEXT(A6, "mmm-yy"), TEXT([2]GASOLINE!$B$5:$B$208, "mmm-yy"), [2]GASOLINE!$IR$5:$IR$208, "Not Found")</f>
        <v>-458.78012714622929</v>
      </c>
      <c r="J6" cm="1">
        <f t="array" aca="1" ref="J6" ca="1">_xlfn.XLOOKUP(TEXT(A6, "mmm-yy"), TEXT([2]GASOLINE!$B$5:$B$208, "mmm-yy"), [2]GASOLINE!$IK$5:$IK$208, "Not Found")</f>
        <v>328.45723596908823</v>
      </c>
      <c r="K6">
        <f t="shared" ca="1" si="0"/>
        <v>1</v>
      </c>
      <c r="L6" cm="1">
        <f t="array" aca="1" ref="L6" ca="1">_xlfn.XLOOKUP(TEXT(A6, "mmm-yy"), TEXT([2]GASOLINE!$B$5:$B$208, "mmm-yy"), [2]GASOLINE!$C$5:$C$208, "Not Found")</f>
        <v>8022.7668951222167</v>
      </c>
      <c r="M6" cm="1">
        <f t="array" aca="1" ref="M6" ca="1">_xlfn.XLOOKUP(TEXT(A6, "mmm-yy"), TEXT([2]RUNS!$B$5:$B$208, "mmm-yy"), [2]RUNS!$BM$5:$BM$208, "Not Found")</f>
        <v>0.83625293458523942</v>
      </c>
    </row>
    <row r="7" spans="1:13" x14ac:dyDescent="0.25">
      <c r="A7" s="1">
        <f t="shared" ca="1" si="1"/>
        <v>45854</v>
      </c>
      <c r="B7" cm="1">
        <f t="array" aca="1" ref="B7" ca="1">_xlfn.XLOOKUP(TEXT(A7, "mmm-yy"), TEXT([1]Monthly!$C:$C, "mmm-yy"), [1]Monthly!$O:$O, "Not Found")</f>
        <v>69.303333333333327</v>
      </c>
      <c r="C7" cm="1">
        <f t="array" aca="1" ref="C7" ca="1">_xlfn.XLOOKUP(TEXT(A7, "mmm-yy"), TEXT([1]Monthly!$C:$C, "mmm-yy"), [1]Monthly!$P:$P, "Not Found")</f>
        <v>58.62166666666667</v>
      </c>
      <c r="D7" cm="1">
        <f t="array" aca="1" ref="D7" ca="1">_xlfn.XLOOKUP(TEXT(A7, "mmm-yy"), TEXT([1]Monthly!$C:$C, "mmm-yy"), [1]Monthly!$R:$R, "Not Found")</f>
        <v>62.389999999999993</v>
      </c>
      <c r="E7" cm="1">
        <f t="array" aca="1" ref="E7" ca="1">_xlfn.XLOOKUP(TEXT(A7, "mmm-yy"), TEXT([1]Monthly!$C:$C, "mmm-yy"), [1]Monthly!$S:$S, "Not Found")</f>
        <v>78.463333333333338</v>
      </c>
      <c r="F7" cm="1">
        <f t="array" aca="1" ref="F7" ca="1">_xlfn.XLOOKUP(TEXT(A7, "mmm-yy"), TEXT([2]RUNS!$B$5:$B$208, "mmm-yy"), [2]RUNS!$D$5:$D$208, "Not Found")</f>
        <v>30749.773032340388</v>
      </c>
      <c r="G7">
        <f>AVERAGE([3]Sheet1!$H2229,[3]Sheet1!$H2491)</f>
        <v>13804.125</v>
      </c>
      <c r="H7">
        <f>AVERAGE([3]Sheet1!$I2229,[3]Sheet1!$I2491)</f>
        <v>1.7349999999999923</v>
      </c>
      <c r="I7" cm="1">
        <f t="array" aca="1" ref="I7" ca="1">_xlfn.XLOOKUP(TEXT(A7, "mmm-yy"), TEXT([2]GASOLINE!$B$5:$B$208, "mmm-yy"), [2]GASOLINE!$IR$5:$IR$208, "Not Found")</f>
        <v>-458.78012714622929</v>
      </c>
      <c r="J7" cm="1">
        <f t="array" aca="1" ref="J7" ca="1">_xlfn.XLOOKUP(TEXT(A7, "mmm-yy"), TEXT([2]GASOLINE!$B$5:$B$208, "mmm-yy"), [2]GASOLINE!$IK$5:$IK$208, "Not Found")</f>
        <v>328.45723596908823</v>
      </c>
      <c r="K7">
        <f t="shared" ca="1" si="0"/>
        <v>1</v>
      </c>
      <c r="L7" cm="1">
        <f t="array" aca="1" ref="L7" ca="1">_xlfn.XLOOKUP(TEXT(A7, "mmm-yy"), TEXT([2]GASOLINE!$B$5:$B$208, "mmm-yy"), [2]GASOLINE!$C$5:$C$208, "Not Found")</f>
        <v>8022.7668951222167</v>
      </c>
      <c r="M7" cm="1">
        <f t="array" aca="1" ref="M7" ca="1">_xlfn.XLOOKUP(TEXT(A7, "mmm-yy"), TEXT([2]RUNS!$B$5:$B$208, "mmm-yy"), [2]RUNS!$BM$5:$BM$208, "Not Found")</f>
        <v>0.83625293458523942</v>
      </c>
    </row>
    <row r="8" spans="1:13" x14ac:dyDescent="0.25">
      <c r="A8" s="1">
        <f t="shared" ca="1" si="1"/>
        <v>45855</v>
      </c>
      <c r="B8" cm="1">
        <f t="array" aca="1" ref="B8" ca="1">_xlfn.XLOOKUP(TEXT(A8, "mmm-yy"), TEXT([1]Monthly!$C:$C, "mmm-yy"), [1]Monthly!$O:$O, "Not Found")</f>
        <v>69.303333333333327</v>
      </c>
      <c r="C8" cm="1">
        <f t="array" aca="1" ref="C8" ca="1">_xlfn.XLOOKUP(TEXT(A8, "mmm-yy"), TEXT([1]Monthly!$C:$C, "mmm-yy"), [1]Monthly!$P:$P, "Not Found")</f>
        <v>58.62166666666667</v>
      </c>
      <c r="D8" cm="1">
        <f t="array" aca="1" ref="D8" ca="1">_xlfn.XLOOKUP(TEXT(A8, "mmm-yy"), TEXT([1]Monthly!$C:$C, "mmm-yy"), [1]Monthly!$R:$R, "Not Found")</f>
        <v>62.389999999999993</v>
      </c>
      <c r="E8" cm="1">
        <f t="array" aca="1" ref="E8" ca="1">_xlfn.XLOOKUP(TEXT(A8, "mmm-yy"), TEXT([1]Monthly!$C:$C, "mmm-yy"), [1]Monthly!$S:$S, "Not Found")</f>
        <v>78.463333333333338</v>
      </c>
      <c r="F8" cm="1">
        <f t="array" aca="1" ref="F8" ca="1">_xlfn.XLOOKUP(TEXT(A8, "mmm-yy"), TEXT([2]RUNS!$B$5:$B$208, "mmm-yy"), [2]RUNS!$D$5:$D$208, "Not Found")</f>
        <v>30749.773032340388</v>
      </c>
      <c r="G8">
        <f>AVERAGE([3]Sheet1!$H2230,[3]Sheet1!$H2492)</f>
        <v>13804.125</v>
      </c>
      <c r="H8">
        <f>AVERAGE([3]Sheet1!$I2230,[3]Sheet1!$I2492)</f>
        <v>2.0050000000000026</v>
      </c>
      <c r="I8" cm="1">
        <f t="array" aca="1" ref="I8" ca="1">_xlfn.XLOOKUP(TEXT(A8, "mmm-yy"), TEXT([2]GASOLINE!$B$5:$B$208, "mmm-yy"), [2]GASOLINE!$IR$5:$IR$208, "Not Found")</f>
        <v>-458.78012714622929</v>
      </c>
      <c r="J8" cm="1">
        <f t="array" aca="1" ref="J8" ca="1">_xlfn.XLOOKUP(TEXT(A8, "mmm-yy"), TEXT([2]GASOLINE!$B$5:$B$208, "mmm-yy"), [2]GASOLINE!$IK$5:$IK$208, "Not Found")</f>
        <v>328.45723596908823</v>
      </c>
      <c r="K8">
        <f t="shared" ca="1" si="0"/>
        <v>1</v>
      </c>
      <c r="L8" cm="1">
        <f t="array" aca="1" ref="L8" ca="1">_xlfn.XLOOKUP(TEXT(A8, "mmm-yy"), TEXT([2]GASOLINE!$B$5:$B$208, "mmm-yy"), [2]GASOLINE!$C$5:$C$208, "Not Found")</f>
        <v>8022.7668951222167</v>
      </c>
      <c r="M8" cm="1">
        <f t="array" aca="1" ref="M8" ca="1">_xlfn.XLOOKUP(TEXT(A8, "mmm-yy"), TEXT([2]RUNS!$B$5:$B$208, "mmm-yy"), [2]RUNS!$BM$5:$BM$208, "Not Found")</f>
        <v>0.83625293458523942</v>
      </c>
    </row>
    <row r="9" spans="1:13" x14ac:dyDescent="0.25">
      <c r="A9" s="1">
        <f t="shared" ca="1" si="1"/>
        <v>45856</v>
      </c>
      <c r="B9" cm="1">
        <f t="array" aca="1" ref="B9" ca="1">_xlfn.XLOOKUP(TEXT(A9, "mmm-yy"), TEXT([1]Monthly!$C:$C, "mmm-yy"), [1]Monthly!$O:$O, "Not Found")</f>
        <v>69.303333333333327</v>
      </c>
      <c r="C9" cm="1">
        <f t="array" aca="1" ref="C9" ca="1">_xlfn.XLOOKUP(TEXT(A9, "mmm-yy"), TEXT([1]Monthly!$C:$C, "mmm-yy"), [1]Monthly!$P:$P, "Not Found")</f>
        <v>58.62166666666667</v>
      </c>
      <c r="D9" cm="1">
        <f t="array" aca="1" ref="D9" ca="1">_xlfn.XLOOKUP(TEXT(A9, "mmm-yy"), TEXT([1]Monthly!$C:$C, "mmm-yy"), [1]Monthly!$R:$R, "Not Found")</f>
        <v>62.389999999999993</v>
      </c>
      <c r="E9" cm="1">
        <f t="array" aca="1" ref="E9" ca="1">_xlfn.XLOOKUP(TEXT(A9, "mmm-yy"), TEXT([1]Monthly!$C:$C, "mmm-yy"), [1]Monthly!$S:$S, "Not Found")</f>
        <v>78.463333333333338</v>
      </c>
      <c r="F9" cm="1">
        <f t="array" aca="1" ref="F9" ca="1">_xlfn.XLOOKUP(TEXT(A9, "mmm-yy"), TEXT([2]RUNS!$B$5:$B$208, "mmm-yy"), [2]RUNS!$D$5:$D$208, "Not Found")</f>
        <v>30749.773032340388</v>
      </c>
      <c r="G9">
        <f>AVERAGE([3]Sheet1!$H2231,[3]Sheet1!$H2493)</f>
        <v>13804.125</v>
      </c>
      <c r="H9">
        <f>AVERAGE([3]Sheet1!$I2231,[3]Sheet1!$I2493)</f>
        <v>1.7950000000000017</v>
      </c>
      <c r="I9" cm="1">
        <f t="array" aca="1" ref="I9" ca="1">_xlfn.XLOOKUP(TEXT(A9, "mmm-yy"), TEXT([2]GASOLINE!$B$5:$B$208, "mmm-yy"), [2]GASOLINE!$IR$5:$IR$208, "Not Found")</f>
        <v>-458.78012714622929</v>
      </c>
      <c r="J9" cm="1">
        <f t="array" aca="1" ref="J9" ca="1">_xlfn.XLOOKUP(TEXT(A9, "mmm-yy"), TEXT([2]GASOLINE!$B$5:$B$208, "mmm-yy"), [2]GASOLINE!$IK$5:$IK$208, "Not Found")</f>
        <v>328.45723596908823</v>
      </c>
      <c r="K9">
        <f t="shared" ca="1" si="0"/>
        <v>1</v>
      </c>
      <c r="L9" cm="1">
        <f t="array" aca="1" ref="L9" ca="1">_xlfn.XLOOKUP(TEXT(A9, "mmm-yy"), TEXT([2]GASOLINE!$B$5:$B$208, "mmm-yy"), [2]GASOLINE!$C$5:$C$208, "Not Found")</f>
        <v>8022.7668951222167</v>
      </c>
      <c r="M9" cm="1">
        <f t="array" aca="1" ref="M9" ca="1">_xlfn.XLOOKUP(TEXT(A9, "mmm-yy"), TEXT([2]RUNS!$B$5:$B$208, "mmm-yy"), [2]RUNS!$BM$5:$BM$208, "Not Found")</f>
        <v>0.83625293458523942</v>
      </c>
    </row>
    <row r="10" spans="1:13" x14ac:dyDescent="0.25">
      <c r="A10" s="1">
        <f t="shared" ca="1" si="1"/>
        <v>45857</v>
      </c>
      <c r="B10" cm="1">
        <f t="array" aca="1" ref="B10" ca="1">_xlfn.XLOOKUP(TEXT(A10, "mmm-yy"), TEXT([1]Monthly!$C:$C, "mmm-yy"), [1]Monthly!$O:$O, "Not Found")</f>
        <v>69.303333333333327</v>
      </c>
      <c r="C10" cm="1">
        <f t="array" aca="1" ref="C10" ca="1">_xlfn.XLOOKUP(TEXT(A10, "mmm-yy"), TEXT([1]Monthly!$C:$C, "mmm-yy"), [1]Monthly!$P:$P, "Not Found")</f>
        <v>58.62166666666667</v>
      </c>
      <c r="D10" cm="1">
        <f t="array" aca="1" ref="D10" ca="1">_xlfn.XLOOKUP(TEXT(A10, "mmm-yy"), TEXT([1]Monthly!$C:$C, "mmm-yy"), [1]Monthly!$R:$R, "Not Found")</f>
        <v>62.389999999999993</v>
      </c>
      <c r="E10" cm="1">
        <f t="array" aca="1" ref="E10" ca="1">_xlfn.XLOOKUP(TEXT(A10, "mmm-yy"), TEXT([1]Monthly!$C:$C, "mmm-yy"), [1]Monthly!$S:$S, "Not Found")</f>
        <v>78.463333333333338</v>
      </c>
      <c r="F10" cm="1">
        <f t="array" aca="1" ref="F10" ca="1">_xlfn.XLOOKUP(TEXT(A10, "mmm-yy"), TEXT([2]RUNS!$B$5:$B$208, "mmm-yy"), [2]RUNS!$D$5:$D$208, "Not Found")</f>
        <v>30749.773032340388</v>
      </c>
      <c r="G10">
        <f>AVERAGE([3]Sheet1!$H2232,[3]Sheet1!$H2494)</f>
        <v>13804.125</v>
      </c>
      <c r="H10">
        <f>AVERAGE([3]Sheet1!$I2232,[3]Sheet1!$I2494)</f>
        <v>2.0049999999999955</v>
      </c>
      <c r="I10" cm="1">
        <f t="array" aca="1" ref="I10" ca="1">_xlfn.XLOOKUP(TEXT(A10, "mmm-yy"), TEXT([2]GASOLINE!$B$5:$B$208, "mmm-yy"), [2]GASOLINE!$IR$5:$IR$208, "Not Found")</f>
        <v>-458.78012714622929</v>
      </c>
      <c r="J10" cm="1">
        <f t="array" aca="1" ref="J10" ca="1">_xlfn.XLOOKUP(TEXT(A10, "mmm-yy"), TEXT([2]GASOLINE!$B$5:$B$208, "mmm-yy"), [2]GASOLINE!$IK$5:$IK$208, "Not Found")</f>
        <v>328.45723596908823</v>
      </c>
      <c r="K10">
        <f t="shared" ca="1" si="0"/>
        <v>1</v>
      </c>
      <c r="L10" cm="1">
        <f t="array" aca="1" ref="L10" ca="1">_xlfn.XLOOKUP(TEXT(A10, "mmm-yy"), TEXT([2]GASOLINE!$B$5:$B$208, "mmm-yy"), [2]GASOLINE!$C$5:$C$208, "Not Found")</f>
        <v>8022.7668951222167</v>
      </c>
      <c r="M10" cm="1">
        <f t="array" aca="1" ref="M10" ca="1">_xlfn.XLOOKUP(TEXT(A10, "mmm-yy"), TEXT([2]RUNS!$B$5:$B$208, "mmm-yy"), [2]RUNS!$BM$5:$BM$208, "Not Found")</f>
        <v>0.83625293458523942</v>
      </c>
    </row>
    <row r="11" spans="1:13" x14ac:dyDescent="0.25">
      <c r="A11" s="1">
        <f t="shared" ca="1" si="1"/>
        <v>45858</v>
      </c>
      <c r="B11" cm="1">
        <f t="array" aca="1" ref="B11" ca="1">_xlfn.XLOOKUP(TEXT(A11, "mmm-yy"), TEXT([1]Monthly!$C:$C, "mmm-yy"), [1]Monthly!$O:$O, "Not Found")</f>
        <v>69.303333333333327</v>
      </c>
      <c r="C11" cm="1">
        <f t="array" aca="1" ref="C11" ca="1">_xlfn.XLOOKUP(TEXT(A11, "mmm-yy"), TEXT([1]Monthly!$C:$C, "mmm-yy"), [1]Monthly!$P:$P, "Not Found")</f>
        <v>58.62166666666667</v>
      </c>
      <c r="D11" cm="1">
        <f t="array" aca="1" ref="D11" ca="1">_xlfn.XLOOKUP(TEXT(A11, "mmm-yy"), TEXT([1]Monthly!$C:$C, "mmm-yy"), [1]Monthly!$R:$R, "Not Found")</f>
        <v>62.389999999999993</v>
      </c>
      <c r="E11" cm="1">
        <f t="array" aca="1" ref="E11" ca="1">_xlfn.XLOOKUP(TEXT(A11, "mmm-yy"), TEXT([1]Monthly!$C:$C, "mmm-yy"), [1]Monthly!$S:$S, "Not Found")</f>
        <v>78.463333333333338</v>
      </c>
      <c r="F11" cm="1">
        <f t="array" aca="1" ref="F11" ca="1">_xlfn.XLOOKUP(TEXT(A11, "mmm-yy"), TEXT([2]RUNS!$B$5:$B$208, "mmm-yy"), [2]RUNS!$D$5:$D$208, "Not Found")</f>
        <v>30749.773032340388</v>
      </c>
      <c r="G11">
        <f>AVERAGE([3]Sheet1!$H2233,[3]Sheet1!$H2495)</f>
        <v>13804.125</v>
      </c>
      <c r="H11">
        <f>AVERAGE([3]Sheet1!$I2233,[3]Sheet1!$I2495)</f>
        <v>2.0949999999999989</v>
      </c>
      <c r="I11" cm="1">
        <f t="array" aca="1" ref="I11" ca="1">_xlfn.XLOOKUP(TEXT(A11, "mmm-yy"), TEXT([2]GASOLINE!$B$5:$B$208, "mmm-yy"), [2]GASOLINE!$IR$5:$IR$208, "Not Found")</f>
        <v>-458.78012714622929</v>
      </c>
      <c r="J11" cm="1">
        <f t="array" aca="1" ref="J11" ca="1">_xlfn.XLOOKUP(TEXT(A11, "mmm-yy"), TEXT([2]GASOLINE!$B$5:$B$208, "mmm-yy"), [2]GASOLINE!$IK$5:$IK$208, "Not Found")</f>
        <v>328.45723596908823</v>
      </c>
      <c r="K11">
        <f t="shared" ca="1" si="0"/>
        <v>1</v>
      </c>
      <c r="L11" cm="1">
        <f t="array" aca="1" ref="L11" ca="1">_xlfn.XLOOKUP(TEXT(A11, "mmm-yy"), TEXT([2]GASOLINE!$B$5:$B$208, "mmm-yy"), [2]GASOLINE!$C$5:$C$208, "Not Found")</f>
        <v>8022.7668951222167</v>
      </c>
      <c r="M11" cm="1">
        <f t="array" aca="1" ref="M11" ca="1">_xlfn.XLOOKUP(TEXT(A11, "mmm-yy"), TEXT([2]RUNS!$B$5:$B$208, "mmm-yy"), [2]RUNS!$BM$5:$BM$208, "Not Found")</f>
        <v>0.83625293458523942</v>
      </c>
    </row>
    <row r="12" spans="1:13" x14ac:dyDescent="0.25">
      <c r="A12" s="1">
        <f t="shared" ca="1" si="1"/>
        <v>45859</v>
      </c>
      <c r="B12" cm="1">
        <f t="array" aca="1" ref="B12" ca="1">_xlfn.XLOOKUP(TEXT(A12, "mmm-yy"), TEXT([1]Monthly!$C:$C, "mmm-yy"), [1]Monthly!$O:$O, "Not Found")</f>
        <v>69.303333333333327</v>
      </c>
      <c r="C12" cm="1">
        <f t="array" aca="1" ref="C12" ca="1">_xlfn.XLOOKUP(TEXT(A12, "mmm-yy"), TEXT([1]Monthly!$C:$C, "mmm-yy"), [1]Monthly!$P:$P, "Not Found")</f>
        <v>58.62166666666667</v>
      </c>
      <c r="D12" cm="1">
        <f t="array" aca="1" ref="D12" ca="1">_xlfn.XLOOKUP(TEXT(A12, "mmm-yy"), TEXT([1]Monthly!$C:$C, "mmm-yy"), [1]Monthly!$R:$R, "Not Found")</f>
        <v>62.389999999999993</v>
      </c>
      <c r="E12" cm="1">
        <f t="array" aca="1" ref="E12" ca="1">_xlfn.XLOOKUP(TEXT(A12, "mmm-yy"), TEXT([1]Monthly!$C:$C, "mmm-yy"), [1]Monthly!$S:$S, "Not Found")</f>
        <v>78.463333333333338</v>
      </c>
      <c r="F12" cm="1">
        <f t="array" aca="1" ref="F12" ca="1">_xlfn.XLOOKUP(TEXT(A12, "mmm-yy"), TEXT([2]RUNS!$B$5:$B$208, "mmm-yy"), [2]RUNS!$D$5:$D$208, "Not Found")</f>
        <v>30749.773032340388</v>
      </c>
      <c r="G12">
        <f>AVERAGE([3]Sheet1!$H2234,[3]Sheet1!$H2496)</f>
        <v>13804.125</v>
      </c>
      <c r="H12">
        <f>AVERAGE([3]Sheet1!$I2234,[3]Sheet1!$I2496)</f>
        <v>2.2900000000000063</v>
      </c>
      <c r="I12" cm="1">
        <f t="array" aca="1" ref="I12" ca="1">_xlfn.XLOOKUP(TEXT(A12, "mmm-yy"), TEXT([2]GASOLINE!$B$5:$B$208, "mmm-yy"), [2]GASOLINE!$IR$5:$IR$208, "Not Found")</f>
        <v>-458.78012714622929</v>
      </c>
      <c r="J12" cm="1">
        <f t="array" aca="1" ref="J12" ca="1">_xlfn.XLOOKUP(TEXT(A12, "mmm-yy"), TEXT([2]GASOLINE!$B$5:$B$208, "mmm-yy"), [2]GASOLINE!$IK$5:$IK$208, "Not Found")</f>
        <v>328.45723596908823</v>
      </c>
      <c r="K12">
        <f t="shared" ca="1" si="0"/>
        <v>1</v>
      </c>
      <c r="L12" cm="1">
        <f t="array" aca="1" ref="L12" ca="1">_xlfn.XLOOKUP(TEXT(A12, "mmm-yy"), TEXT([2]GASOLINE!$B$5:$B$208, "mmm-yy"), [2]GASOLINE!$C$5:$C$208, "Not Found")</f>
        <v>8022.7668951222167</v>
      </c>
      <c r="M12" cm="1">
        <f t="array" aca="1" ref="M12" ca="1">_xlfn.XLOOKUP(TEXT(A12, "mmm-yy"), TEXT([2]RUNS!$B$5:$B$208, "mmm-yy"), [2]RUNS!$BM$5:$BM$208, "Not Found")</f>
        <v>0.83625293458523942</v>
      </c>
    </row>
    <row r="13" spans="1:13" x14ac:dyDescent="0.25">
      <c r="A13" s="1">
        <f t="shared" ca="1" si="1"/>
        <v>45860</v>
      </c>
      <c r="B13" cm="1">
        <f t="array" aca="1" ref="B13" ca="1">_xlfn.XLOOKUP(TEXT(A13, "mmm-yy"), TEXT([1]Monthly!$C:$C, "mmm-yy"), [1]Monthly!$O:$O, "Not Found")</f>
        <v>69.303333333333327</v>
      </c>
      <c r="C13" cm="1">
        <f t="array" aca="1" ref="C13" ca="1">_xlfn.XLOOKUP(TEXT(A13, "mmm-yy"), TEXT([1]Monthly!$C:$C, "mmm-yy"), [1]Monthly!$P:$P, "Not Found")</f>
        <v>58.62166666666667</v>
      </c>
      <c r="D13" cm="1">
        <f t="array" aca="1" ref="D13" ca="1">_xlfn.XLOOKUP(TEXT(A13, "mmm-yy"), TEXT([1]Monthly!$C:$C, "mmm-yy"), [1]Monthly!$R:$R, "Not Found")</f>
        <v>62.389999999999993</v>
      </c>
      <c r="E13" cm="1">
        <f t="array" aca="1" ref="E13" ca="1">_xlfn.XLOOKUP(TEXT(A13, "mmm-yy"), TEXT([1]Monthly!$C:$C, "mmm-yy"), [1]Monthly!$S:$S, "Not Found")</f>
        <v>78.463333333333338</v>
      </c>
      <c r="F13" cm="1">
        <f t="array" aca="1" ref="F13" ca="1">_xlfn.XLOOKUP(TEXT(A13, "mmm-yy"), TEXT([2]RUNS!$B$5:$B$208, "mmm-yy"), [2]RUNS!$D$5:$D$208, "Not Found")</f>
        <v>30749.773032340388</v>
      </c>
      <c r="G13">
        <f>AVERAGE([3]Sheet1!$H2235,[3]Sheet1!$H2497)</f>
        <v>13804.125</v>
      </c>
      <c r="H13">
        <f>AVERAGE([3]Sheet1!$I2235,[3]Sheet1!$I2497)</f>
        <v>2.1350000000000051</v>
      </c>
      <c r="I13" cm="1">
        <f t="array" aca="1" ref="I13" ca="1">_xlfn.XLOOKUP(TEXT(A13, "mmm-yy"), TEXT([2]GASOLINE!$B$5:$B$208, "mmm-yy"), [2]GASOLINE!$IR$5:$IR$208, "Not Found")</f>
        <v>-458.78012714622929</v>
      </c>
      <c r="J13" cm="1">
        <f t="array" aca="1" ref="J13" ca="1">_xlfn.XLOOKUP(TEXT(A13, "mmm-yy"), TEXT([2]GASOLINE!$B$5:$B$208, "mmm-yy"), [2]GASOLINE!$IK$5:$IK$208, "Not Found")</f>
        <v>328.45723596908823</v>
      </c>
      <c r="K13">
        <f t="shared" ca="1" si="0"/>
        <v>1</v>
      </c>
      <c r="L13" cm="1">
        <f t="array" aca="1" ref="L13" ca="1">_xlfn.XLOOKUP(TEXT(A13, "mmm-yy"), TEXT([2]GASOLINE!$B$5:$B$208, "mmm-yy"), [2]GASOLINE!$C$5:$C$208, "Not Found")</f>
        <v>8022.7668951222167</v>
      </c>
      <c r="M13" cm="1">
        <f t="array" aca="1" ref="M13" ca="1">_xlfn.XLOOKUP(TEXT(A13, "mmm-yy"), TEXT([2]RUNS!$B$5:$B$208, "mmm-yy"), [2]RUNS!$BM$5:$BM$208, "Not Found")</f>
        <v>0.83625293458523942</v>
      </c>
    </row>
    <row r="14" spans="1:13" x14ac:dyDescent="0.25">
      <c r="A14" s="1">
        <f t="shared" ca="1" si="1"/>
        <v>45861</v>
      </c>
      <c r="B14" cm="1">
        <f t="array" aca="1" ref="B14" ca="1">_xlfn.XLOOKUP(TEXT(A14, "mmm-yy"), TEXT([1]Monthly!$C:$C, "mmm-yy"), [1]Monthly!$O:$O, "Not Found")</f>
        <v>69.303333333333327</v>
      </c>
      <c r="C14" cm="1">
        <f t="array" aca="1" ref="C14" ca="1">_xlfn.XLOOKUP(TEXT(A14, "mmm-yy"), TEXT([1]Monthly!$C:$C, "mmm-yy"), [1]Monthly!$P:$P, "Not Found")</f>
        <v>58.62166666666667</v>
      </c>
      <c r="D14" cm="1">
        <f t="array" aca="1" ref="D14" ca="1">_xlfn.XLOOKUP(TEXT(A14, "mmm-yy"), TEXT([1]Monthly!$C:$C, "mmm-yy"), [1]Monthly!$R:$R, "Not Found")</f>
        <v>62.389999999999993</v>
      </c>
      <c r="E14" cm="1">
        <f t="array" aca="1" ref="E14" ca="1">_xlfn.XLOOKUP(TEXT(A14, "mmm-yy"), TEXT([1]Monthly!$C:$C, "mmm-yy"), [1]Monthly!$S:$S, "Not Found")</f>
        <v>78.463333333333338</v>
      </c>
      <c r="F14" cm="1">
        <f t="array" aca="1" ref="F14" ca="1">_xlfn.XLOOKUP(TEXT(A14, "mmm-yy"), TEXT([2]RUNS!$B$5:$B$208, "mmm-yy"), [2]RUNS!$D$5:$D$208, "Not Found")</f>
        <v>30749.773032340388</v>
      </c>
      <c r="G14">
        <f>AVERAGE([3]Sheet1!$H2236,[3]Sheet1!$H2498)</f>
        <v>13804.125</v>
      </c>
      <c r="H14">
        <f>AVERAGE([3]Sheet1!$I2236,[3]Sheet1!$I2498)</f>
        <v>2.0999999999999943</v>
      </c>
      <c r="I14" cm="1">
        <f t="array" aca="1" ref="I14" ca="1">_xlfn.XLOOKUP(TEXT(A14, "mmm-yy"), TEXT([2]GASOLINE!$B$5:$B$208, "mmm-yy"), [2]GASOLINE!$IR$5:$IR$208, "Not Found")</f>
        <v>-458.78012714622929</v>
      </c>
      <c r="J14" cm="1">
        <f t="array" aca="1" ref="J14" ca="1">_xlfn.XLOOKUP(TEXT(A14, "mmm-yy"), TEXT([2]GASOLINE!$B$5:$B$208, "mmm-yy"), [2]GASOLINE!$IK$5:$IK$208, "Not Found")</f>
        <v>328.45723596908823</v>
      </c>
      <c r="K14">
        <f t="shared" ca="1" si="0"/>
        <v>1</v>
      </c>
      <c r="L14" cm="1">
        <f t="array" aca="1" ref="L14" ca="1">_xlfn.XLOOKUP(TEXT(A14, "mmm-yy"), TEXT([2]GASOLINE!$B$5:$B$208, "mmm-yy"), [2]GASOLINE!$C$5:$C$208, "Not Found")</f>
        <v>8022.7668951222167</v>
      </c>
      <c r="M14" cm="1">
        <f t="array" aca="1" ref="M14" ca="1">_xlfn.XLOOKUP(TEXT(A14, "mmm-yy"), TEXT([2]RUNS!$B$5:$B$208, "mmm-yy"), [2]RUNS!$BM$5:$BM$208, "Not Found")</f>
        <v>0.83625293458523942</v>
      </c>
    </row>
    <row r="15" spans="1:13" x14ac:dyDescent="0.25">
      <c r="A15" s="1">
        <f t="shared" ca="1" si="1"/>
        <v>45862</v>
      </c>
      <c r="B15" cm="1">
        <f t="array" aca="1" ref="B15" ca="1">_xlfn.XLOOKUP(TEXT(A15, "mmm-yy"), TEXT([1]Monthly!$C:$C, "mmm-yy"), [1]Monthly!$O:$O, "Not Found")</f>
        <v>69.303333333333327</v>
      </c>
      <c r="C15" cm="1">
        <f t="array" aca="1" ref="C15" ca="1">_xlfn.XLOOKUP(TEXT(A15, "mmm-yy"), TEXT([1]Monthly!$C:$C, "mmm-yy"), [1]Monthly!$P:$P, "Not Found")</f>
        <v>58.62166666666667</v>
      </c>
      <c r="D15" cm="1">
        <f t="array" aca="1" ref="D15" ca="1">_xlfn.XLOOKUP(TEXT(A15, "mmm-yy"), TEXT([1]Monthly!$C:$C, "mmm-yy"), [1]Monthly!$R:$R, "Not Found")</f>
        <v>62.389999999999993</v>
      </c>
      <c r="E15" cm="1">
        <f t="array" aca="1" ref="E15" ca="1">_xlfn.XLOOKUP(TEXT(A15, "mmm-yy"), TEXT([1]Monthly!$C:$C, "mmm-yy"), [1]Monthly!$S:$S, "Not Found")</f>
        <v>78.463333333333338</v>
      </c>
      <c r="F15" cm="1">
        <f t="array" aca="1" ref="F15" ca="1">_xlfn.XLOOKUP(TEXT(A15, "mmm-yy"), TEXT([2]RUNS!$B$5:$B$208, "mmm-yy"), [2]RUNS!$D$5:$D$208, "Not Found")</f>
        <v>30749.773032340388</v>
      </c>
      <c r="G15">
        <f>AVERAGE([3]Sheet1!$H2237,[3]Sheet1!$H2499)</f>
        <v>13804.125</v>
      </c>
      <c r="H15">
        <f>AVERAGE([3]Sheet1!$I2237,[3]Sheet1!$I2499)</f>
        <v>2.4199999999999946</v>
      </c>
      <c r="I15" cm="1">
        <f t="array" aca="1" ref="I15" ca="1">_xlfn.XLOOKUP(TEXT(A15, "mmm-yy"), TEXT([2]GASOLINE!$B$5:$B$208, "mmm-yy"), [2]GASOLINE!$IR$5:$IR$208, "Not Found")</f>
        <v>-458.78012714622929</v>
      </c>
      <c r="J15" cm="1">
        <f t="array" aca="1" ref="J15" ca="1">_xlfn.XLOOKUP(TEXT(A15, "mmm-yy"), TEXT([2]GASOLINE!$B$5:$B$208, "mmm-yy"), [2]GASOLINE!$IK$5:$IK$208, "Not Found")</f>
        <v>328.45723596908823</v>
      </c>
      <c r="K15">
        <f t="shared" ca="1" si="0"/>
        <v>1</v>
      </c>
      <c r="L15" cm="1">
        <f t="array" aca="1" ref="L15" ca="1">_xlfn.XLOOKUP(TEXT(A15, "mmm-yy"), TEXT([2]GASOLINE!$B$5:$B$208, "mmm-yy"), [2]GASOLINE!$C$5:$C$208, "Not Found")</f>
        <v>8022.7668951222167</v>
      </c>
      <c r="M15" cm="1">
        <f t="array" aca="1" ref="M15" ca="1">_xlfn.XLOOKUP(TEXT(A15, "mmm-yy"), TEXT([2]RUNS!$B$5:$B$208, "mmm-yy"), [2]RUNS!$BM$5:$BM$208, "Not Found")</f>
        <v>0.83625293458523942</v>
      </c>
    </row>
    <row r="16" spans="1:13" x14ac:dyDescent="0.25">
      <c r="A16" s="1">
        <f t="shared" ca="1" si="1"/>
        <v>45863</v>
      </c>
      <c r="B16" cm="1">
        <f t="array" aca="1" ref="B16" ca="1">_xlfn.XLOOKUP(TEXT(A16, "mmm-yy"), TEXT([1]Monthly!$C:$C, "mmm-yy"), [1]Monthly!$O:$O, "Not Found")</f>
        <v>69.303333333333327</v>
      </c>
      <c r="C16" cm="1">
        <f t="array" aca="1" ref="C16" ca="1">_xlfn.XLOOKUP(TEXT(A16, "mmm-yy"), TEXT([1]Monthly!$C:$C, "mmm-yy"), [1]Monthly!$P:$P, "Not Found")</f>
        <v>58.62166666666667</v>
      </c>
      <c r="D16" cm="1">
        <f t="array" aca="1" ref="D16" ca="1">_xlfn.XLOOKUP(TEXT(A16, "mmm-yy"), TEXT([1]Monthly!$C:$C, "mmm-yy"), [1]Monthly!$R:$R, "Not Found")</f>
        <v>62.389999999999993</v>
      </c>
      <c r="E16" cm="1">
        <f t="array" aca="1" ref="E16" ca="1">_xlfn.XLOOKUP(TEXT(A16, "mmm-yy"), TEXT([1]Monthly!$C:$C, "mmm-yy"), [1]Monthly!$S:$S, "Not Found")</f>
        <v>78.463333333333338</v>
      </c>
      <c r="F16" cm="1">
        <f t="array" aca="1" ref="F16" ca="1">_xlfn.XLOOKUP(TEXT(A16, "mmm-yy"), TEXT([2]RUNS!$B$5:$B$208, "mmm-yy"), [2]RUNS!$D$5:$D$208, "Not Found")</f>
        <v>30749.773032340388</v>
      </c>
      <c r="G16">
        <f>AVERAGE([3]Sheet1!$H2238,[3]Sheet1!$H2500)</f>
        <v>13804.125</v>
      </c>
      <c r="H16">
        <f>AVERAGE([3]Sheet1!$I2238,[3]Sheet1!$I2500)</f>
        <v>2.3049999999999997</v>
      </c>
      <c r="I16" cm="1">
        <f t="array" aca="1" ref="I16" ca="1">_xlfn.XLOOKUP(TEXT(A16, "mmm-yy"), TEXT([2]GASOLINE!$B$5:$B$208, "mmm-yy"), [2]GASOLINE!$IR$5:$IR$208, "Not Found")</f>
        <v>-458.78012714622929</v>
      </c>
      <c r="J16" cm="1">
        <f t="array" aca="1" ref="J16" ca="1">_xlfn.XLOOKUP(TEXT(A16, "mmm-yy"), TEXT([2]GASOLINE!$B$5:$B$208, "mmm-yy"), [2]GASOLINE!$IK$5:$IK$208, "Not Found")</f>
        <v>328.45723596908823</v>
      </c>
      <c r="K16">
        <f t="shared" ca="1" si="0"/>
        <v>1</v>
      </c>
      <c r="L16" cm="1">
        <f t="array" aca="1" ref="L16" ca="1">_xlfn.XLOOKUP(TEXT(A16, "mmm-yy"), TEXT([2]GASOLINE!$B$5:$B$208, "mmm-yy"), [2]GASOLINE!$C$5:$C$208, "Not Found")</f>
        <v>8022.7668951222167</v>
      </c>
      <c r="M16" cm="1">
        <f t="array" aca="1" ref="M16" ca="1">_xlfn.XLOOKUP(TEXT(A16, "mmm-yy"), TEXT([2]RUNS!$B$5:$B$208, "mmm-yy"), [2]RUNS!$BM$5:$BM$208, "Not Found")</f>
        <v>0.83625293458523942</v>
      </c>
    </row>
    <row r="17" spans="1:13" x14ac:dyDescent="0.25">
      <c r="A17" s="1">
        <f t="shared" ca="1" si="1"/>
        <v>45864</v>
      </c>
      <c r="B17" cm="1">
        <f t="array" aca="1" ref="B17" ca="1">_xlfn.XLOOKUP(TEXT(A17, "mmm-yy"), TEXT([1]Monthly!$C:$C, "mmm-yy"), [1]Monthly!$O:$O, "Not Found")</f>
        <v>69.303333333333327</v>
      </c>
      <c r="C17" cm="1">
        <f t="array" aca="1" ref="C17" ca="1">_xlfn.XLOOKUP(TEXT(A17, "mmm-yy"), TEXT([1]Monthly!$C:$C, "mmm-yy"), [1]Monthly!$P:$P, "Not Found")</f>
        <v>58.62166666666667</v>
      </c>
      <c r="D17" cm="1">
        <f t="array" aca="1" ref="D17" ca="1">_xlfn.XLOOKUP(TEXT(A17, "mmm-yy"), TEXT([1]Monthly!$C:$C, "mmm-yy"), [1]Monthly!$R:$R, "Not Found")</f>
        <v>62.389999999999993</v>
      </c>
      <c r="E17" cm="1">
        <f t="array" aca="1" ref="E17" ca="1">_xlfn.XLOOKUP(TEXT(A17, "mmm-yy"), TEXT([1]Monthly!$C:$C, "mmm-yy"), [1]Monthly!$S:$S, "Not Found")</f>
        <v>78.463333333333338</v>
      </c>
      <c r="F17" cm="1">
        <f t="array" aca="1" ref="F17" ca="1">_xlfn.XLOOKUP(TEXT(A17, "mmm-yy"), TEXT([2]RUNS!$B$5:$B$208, "mmm-yy"), [2]RUNS!$D$5:$D$208, "Not Found")</f>
        <v>30749.773032340388</v>
      </c>
      <c r="G17">
        <f>AVERAGE([3]Sheet1!$H2239,[3]Sheet1!$H2501)</f>
        <v>13804.125</v>
      </c>
      <c r="H17">
        <f>AVERAGE([3]Sheet1!$I2239,[3]Sheet1!$I2501)</f>
        <v>2.3500000000000014</v>
      </c>
      <c r="I17" cm="1">
        <f t="array" aca="1" ref="I17" ca="1">_xlfn.XLOOKUP(TEXT(A17, "mmm-yy"), TEXT([2]GASOLINE!$B$5:$B$208, "mmm-yy"), [2]GASOLINE!$IR$5:$IR$208, "Not Found")</f>
        <v>-458.78012714622929</v>
      </c>
      <c r="J17" cm="1">
        <f t="array" aca="1" ref="J17" ca="1">_xlfn.XLOOKUP(TEXT(A17, "mmm-yy"), TEXT([2]GASOLINE!$B$5:$B$208, "mmm-yy"), [2]GASOLINE!$IK$5:$IK$208, "Not Found")</f>
        <v>328.45723596908823</v>
      </c>
      <c r="K17">
        <f t="shared" ca="1" si="0"/>
        <v>1</v>
      </c>
      <c r="L17" cm="1">
        <f t="array" aca="1" ref="L17" ca="1">_xlfn.XLOOKUP(TEXT(A17, "mmm-yy"), TEXT([2]GASOLINE!$B$5:$B$208, "mmm-yy"), [2]GASOLINE!$C$5:$C$208, "Not Found")</f>
        <v>8022.7668951222167</v>
      </c>
      <c r="M17" cm="1">
        <f t="array" aca="1" ref="M17" ca="1">_xlfn.XLOOKUP(TEXT(A17, "mmm-yy"), TEXT([2]RUNS!$B$5:$B$208, "mmm-yy"), [2]RUNS!$BM$5:$BM$208, "Not Found")</f>
        <v>0.83625293458523942</v>
      </c>
    </row>
    <row r="18" spans="1:13" x14ac:dyDescent="0.25">
      <c r="A18" s="1">
        <f t="shared" ca="1" si="1"/>
        <v>45865</v>
      </c>
      <c r="B18" cm="1">
        <f t="array" aca="1" ref="B18" ca="1">_xlfn.XLOOKUP(TEXT(A18, "mmm-yy"), TEXT([1]Monthly!$C:$C, "mmm-yy"), [1]Monthly!$O:$O, "Not Found")</f>
        <v>69.303333333333327</v>
      </c>
      <c r="C18" cm="1">
        <f t="array" aca="1" ref="C18" ca="1">_xlfn.XLOOKUP(TEXT(A18, "mmm-yy"), TEXT([1]Monthly!$C:$C, "mmm-yy"), [1]Monthly!$P:$P, "Not Found")</f>
        <v>58.62166666666667</v>
      </c>
      <c r="D18" cm="1">
        <f t="array" aca="1" ref="D18" ca="1">_xlfn.XLOOKUP(TEXT(A18, "mmm-yy"), TEXT([1]Monthly!$C:$C, "mmm-yy"), [1]Monthly!$R:$R, "Not Found")</f>
        <v>62.389999999999993</v>
      </c>
      <c r="E18" cm="1">
        <f t="array" aca="1" ref="E18" ca="1">_xlfn.XLOOKUP(TEXT(A18, "mmm-yy"), TEXT([1]Monthly!$C:$C, "mmm-yy"), [1]Monthly!$S:$S, "Not Found")</f>
        <v>78.463333333333338</v>
      </c>
      <c r="F18" cm="1">
        <f t="array" aca="1" ref="F18" ca="1">_xlfn.XLOOKUP(TEXT(A18, "mmm-yy"), TEXT([2]RUNS!$B$5:$B$208, "mmm-yy"), [2]RUNS!$D$5:$D$208, "Not Found")</f>
        <v>30749.773032340388</v>
      </c>
      <c r="G18">
        <f>AVERAGE([3]Sheet1!$H2240,[3]Sheet1!$H2502)</f>
        <v>14123.775</v>
      </c>
      <c r="H18">
        <f>AVERAGE([3]Sheet1!$I2240,[3]Sheet1!$I2502)</f>
        <v>1.8599999999999994</v>
      </c>
      <c r="I18" cm="1">
        <f t="array" aca="1" ref="I18" ca="1">_xlfn.XLOOKUP(TEXT(A18, "mmm-yy"), TEXT([2]GASOLINE!$B$5:$B$208, "mmm-yy"), [2]GASOLINE!$IR$5:$IR$208, "Not Found")</f>
        <v>-458.78012714622929</v>
      </c>
      <c r="J18" cm="1">
        <f t="array" aca="1" ref="J18" ca="1">_xlfn.XLOOKUP(TEXT(A18, "mmm-yy"), TEXT([2]GASOLINE!$B$5:$B$208, "mmm-yy"), [2]GASOLINE!$IK$5:$IK$208, "Not Found")</f>
        <v>328.45723596908823</v>
      </c>
      <c r="K18">
        <f t="shared" ca="1" si="0"/>
        <v>1</v>
      </c>
      <c r="L18" cm="1">
        <f t="array" aca="1" ref="L18" ca="1">_xlfn.XLOOKUP(TEXT(A18, "mmm-yy"), TEXT([2]GASOLINE!$B$5:$B$208, "mmm-yy"), [2]GASOLINE!$C$5:$C$208, "Not Found")</f>
        <v>8022.7668951222167</v>
      </c>
      <c r="M18" cm="1">
        <f t="array" aca="1" ref="M18" ca="1">_xlfn.XLOOKUP(TEXT(A18, "mmm-yy"), TEXT([2]RUNS!$B$5:$B$208, "mmm-yy"), [2]RUNS!$BM$5:$BM$208, "Not Found")</f>
        <v>0.83625293458523942</v>
      </c>
    </row>
    <row r="19" spans="1:13" x14ac:dyDescent="0.25">
      <c r="A19" s="1">
        <f t="shared" ca="1" si="1"/>
        <v>45866</v>
      </c>
      <c r="B19" cm="1">
        <f t="array" aca="1" ref="B19" ca="1">_xlfn.XLOOKUP(TEXT(A19, "mmm-yy"), TEXT([1]Monthly!$C:$C, "mmm-yy"), [1]Monthly!$O:$O, "Not Found")</f>
        <v>69.303333333333327</v>
      </c>
      <c r="C19" cm="1">
        <f t="array" aca="1" ref="C19" ca="1">_xlfn.XLOOKUP(TEXT(A19, "mmm-yy"), TEXT([1]Monthly!$C:$C, "mmm-yy"), [1]Monthly!$P:$P, "Not Found")</f>
        <v>58.62166666666667</v>
      </c>
      <c r="D19" cm="1">
        <f t="array" aca="1" ref="D19" ca="1">_xlfn.XLOOKUP(TEXT(A19, "mmm-yy"), TEXT([1]Monthly!$C:$C, "mmm-yy"), [1]Monthly!$R:$R, "Not Found")</f>
        <v>62.389999999999993</v>
      </c>
      <c r="E19" cm="1">
        <f t="array" aca="1" ref="E19" ca="1">_xlfn.XLOOKUP(TEXT(A19, "mmm-yy"), TEXT([1]Monthly!$C:$C, "mmm-yy"), [1]Monthly!$S:$S, "Not Found")</f>
        <v>78.463333333333338</v>
      </c>
      <c r="F19" cm="1">
        <f t="array" aca="1" ref="F19" ca="1">_xlfn.XLOOKUP(TEXT(A19, "mmm-yy"), TEXT([2]RUNS!$B$5:$B$208, "mmm-yy"), [2]RUNS!$D$5:$D$208, "Not Found")</f>
        <v>30749.773032340388</v>
      </c>
      <c r="G19">
        <f>AVERAGE([3]Sheet1!$H2241,[3]Sheet1!$H2503)</f>
        <v>14123.775</v>
      </c>
      <c r="H19">
        <f>AVERAGE([3]Sheet1!$I2241,[3]Sheet1!$I2503)</f>
        <v>1.644999999999996</v>
      </c>
      <c r="I19" cm="1">
        <f t="array" aca="1" ref="I19" ca="1">_xlfn.XLOOKUP(TEXT(A19, "mmm-yy"), TEXT([2]GASOLINE!$B$5:$B$208, "mmm-yy"), [2]GASOLINE!$IR$5:$IR$208, "Not Found")</f>
        <v>-458.78012714622929</v>
      </c>
      <c r="J19" cm="1">
        <f t="array" aca="1" ref="J19" ca="1">_xlfn.XLOOKUP(TEXT(A19, "mmm-yy"), TEXT([2]GASOLINE!$B$5:$B$208, "mmm-yy"), [2]GASOLINE!$IK$5:$IK$208, "Not Found")</f>
        <v>328.45723596908823</v>
      </c>
      <c r="K19">
        <f t="shared" ca="1" si="0"/>
        <v>1</v>
      </c>
      <c r="L19" cm="1">
        <f t="array" aca="1" ref="L19" ca="1">_xlfn.XLOOKUP(TEXT(A19, "mmm-yy"), TEXT([2]GASOLINE!$B$5:$B$208, "mmm-yy"), [2]GASOLINE!$C$5:$C$208, "Not Found")</f>
        <v>8022.7668951222167</v>
      </c>
      <c r="M19" cm="1">
        <f t="array" aca="1" ref="M19" ca="1">_xlfn.XLOOKUP(TEXT(A19, "mmm-yy"), TEXT([2]RUNS!$B$5:$B$208, "mmm-yy"), [2]RUNS!$BM$5:$BM$208, "Not Found")</f>
        <v>0.83625293458523942</v>
      </c>
    </row>
    <row r="20" spans="1:13" x14ac:dyDescent="0.25">
      <c r="A20" s="1">
        <f t="shared" ca="1" si="1"/>
        <v>45867</v>
      </c>
      <c r="B20" cm="1">
        <f t="array" aca="1" ref="B20" ca="1">_xlfn.XLOOKUP(TEXT(A20, "mmm-yy"), TEXT([1]Monthly!$C:$C, "mmm-yy"), [1]Monthly!$O:$O, "Not Found")</f>
        <v>69.303333333333327</v>
      </c>
      <c r="C20" cm="1">
        <f t="array" aca="1" ref="C20" ca="1">_xlfn.XLOOKUP(TEXT(A20, "mmm-yy"), TEXT([1]Monthly!$C:$C, "mmm-yy"), [1]Monthly!$P:$P, "Not Found")</f>
        <v>58.62166666666667</v>
      </c>
      <c r="D20" cm="1">
        <f t="array" aca="1" ref="D20" ca="1">_xlfn.XLOOKUP(TEXT(A20, "mmm-yy"), TEXT([1]Monthly!$C:$C, "mmm-yy"), [1]Monthly!$R:$R, "Not Found")</f>
        <v>62.389999999999993</v>
      </c>
      <c r="E20" cm="1">
        <f t="array" aca="1" ref="E20" ca="1">_xlfn.XLOOKUP(TEXT(A20, "mmm-yy"), TEXT([1]Monthly!$C:$C, "mmm-yy"), [1]Monthly!$S:$S, "Not Found")</f>
        <v>78.463333333333338</v>
      </c>
      <c r="F20" cm="1">
        <f t="array" aca="1" ref="F20" ca="1">_xlfn.XLOOKUP(TEXT(A20, "mmm-yy"), TEXT([2]RUNS!$B$5:$B$208, "mmm-yy"), [2]RUNS!$D$5:$D$208, "Not Found")</f>
        <v>30749.773032340388</v>
      </c>
      <c r="G20">
        <f>AVERAGE([3]Sheet1!$H2242,[3]Sheet1!$H2504)</f>
        <v>14123.775</v>
      </c>
      <c r="H20">
        <f>AVERAGE([3]Sheet1!$I2242,[3]Sheet1!$I2504)</f>
        <v>1.4600000000000009</v>
      </c>
      <c r="I20" cm="1">
        <f t="array" aca="1" ref="I20" ca="1">_xlfn.XLOOKUP(TEXT(A20, "mmm-yy"), TEXT([2]GASOLINE!$B$5:$B$208, "mmm-yy"), [2]GASOLINE!$IR$5:$IR$208, "Not Found")</f>
        <v>-458.78012714622929</v>
      </c>
      <c r="J20" cm="1">
        <f t="array" aca="1" ref="J20" ca="1">_xlfn.XLOOKUP(TEXT(A20, "mmm-yy"), TEXT([2]GASOLINE!$B$5:$B$208, "mmm-yy"), [2]GASOLINE!$IK$5:$IK$208, "Not Found")</f>
        <v>328.45723596908823</v>
      </c>
      <c r="K20">
        <f t="shared" ca="1" si="0"/>
        <v>1</v>
      </c>
      <c r="L20" cm="1">
        <f t="array" aca="1" ref="L20" ca="1">_xlfn.XLOOKUP(TEXT(A20, "mmm-yy"), TEXT([2]GASOLINE!$B$5:$B$208, "mmm-yy"), [2]GASOLINE!$C$5:$C$208, "Not Found")</f>
        <v>8022.7668951222167</v>
      </c>
      <c r="M20" cm="1">
        <f t="array" aca="1" ref="M20" ca="1">_xlfn.XLOOKUP(TEXT(A20, "mmm-yy"), TEXT([2]RUNS!$B$5:$B$208, "mmm-yy"), [2]RUNS!$BM$5:$BM$208, "Not Found")</f>
        <v>0.83625293458523942</v>
      </c>
    </row>
    <row r="21" spans="1:13" x14ac:dyDescent="0.25">
      <c r="A21" s="1">
        <f t="shared" ca="1" si="1"/>
        <v>45868</v>
      </c>
      <c r="B21" cm="1">
        <f t="array" aca="1" ref="B21" ca="1">_xlfn.XLOOKUP(TEXT(A21, "mmm-yy"), TEXT([1]Monthly!$C:$C, "mmm-yy"), [1]Monthly!$O:$O, "Not Found")</f>
        <v>69.303333333333327</v>
      </c>
      <c r="C21" cm="1">
        <f t="array" aca="1" ref="C21" ca="1">_xlfn.XLOOKUP(TEXT(A21, "mmm-yy"), TEXT([1]Monthly!$C:$C, "mmm-yy"), [1]Monthly!$P:$P, "Not Found")</f>
        <v>58.62166666666667</v>
      </c>
      <c r="D21" cm="1">
        <f t="array" aca="1" ref="D21" ca="1">_xlfn.XLOOKUP(TEXT(A21, "mmm-yy"), TEXT([1]Monthly!$C:$C, "mmm-yy"), [1]Monthly!$R:$R, "Not Found")</f>
        <v>62.389999999999993</v>
      </c>
      <c r="E21" cm="1">
        <f t="array" aca="1" ref="E21" ca="1">_xlfn.XLOOKUP(TEXT(A21, "mmm-yy"), TEXT([1]Monthly!$C:$C, "mmm-yy"), [1]Monthly!$S:$S, "Not Found")</f>
        <v>78.463333333333338</v>
      </c>
      <c r="F21" cm="1">
        <f t="array" aca="1" ref="F21" ca="1">_xlfn.XLOOKUP(TEXT(A21, "mmm-yy"), TEXT([2]RUNS!$B$5:$B$208, "mmm-yy"), [2]RUNS!$D$5:$D$208, "Not Found")</f>
        <v>30749.773032340388</v>
      </c>
      <c r="G21">
        <f>AVERAGE([3]Sheet1!$H2243,[3]Sheet1!$H2505)</f>
        <v>14123.775</v>
      </c>
      <c r="H21">
        <f>AVERAGE([3]Sheet1!$I2243,[3]Sheet1!$I2505)</f>
        <v>1.4499999999999957</v>
      </c>
      <c r="I21" cm="1">
        <f t="array" aca="1" ref="I21" ca="1">_xlfn.XLOOKUP(TEXT(A21, "mmm-yy"), TEXT([2]GASOLINE!$B$5:$B$208, "mmm-yy"), [2]GASOLINE!$IR$5:$IR$208, "Not Found")</f>
        <v>-458.78012714622929</v>
      </c>
      <c r="J21" cm="1">
        <f t="array" aca="1" ref="J21" ca="1">_xlfn.XLOOKUP(TEXT(A21, "mmm-yy"), TEXT([2]GASOLINE!$B$5:$B$208, "mmm-yy"), [2]GASOLINE!$IK$5:$IK$208, "Not Found")</f>
        <v>328.45723596908823</v>
      </c>
      <c r="K21">
        <f t="shared" ca="1" si="0"/>
        <v>1</v>
      </c>
      <c r="L21" cm="1">
        <f t="array" aca="1" ref="L21" ca="1">_xlfn.XLOOKUP(TEXT(A21, "mmm-yy"), TEXT([2]GASOLINE!$B$5:$B$208, "mmm-yy"), [2]GASOLINE!$C$5:$C$208, "Not Found")</f>
        <v>8022.7668951222167</v>
      </c>
      <c r="M21" cm="1">
        <f t="array" aca="1" ref="M21" ca="1">_xlfn.XLOOKUP(TEXT(A21, "mmm-yy"), TEXT([2]RUNS!$B$5:$B$208, "mmm-yy"), [2]RUNS!$BM$5:$BM$208, "Not Found")</f>
        <v>0.83625293458523942</v>
      </c>
    </row>
    <row r="22" spans="1:13" x14ac:dyDescent="0.25">
      <c r="A22" s="1">
        <f t="shared" ca="1" si="1"/>
        <v>45869</v>
      </c>
      <c r="B22" cm="1">
        <f t="array" aca="1" ref="B22" ca="1">_xlfn.XLOOKUP(TEXT(A22, "mmm-yy"), TEXT([1]Monthly!$C:$C, "mmm-yy"), [1]Monthly!$O:$O, "Not Found")</f>
        <v>69.303333333333327</v>
      </c>
      <c r="C22" cm="1">
        <f t="array" aca="1" ref="C22" ca="1">_xlfn.XLOOKUP(TEXT(A22, "mmm-yy"), TEXT([1]Monthly!$C:$C, "mmm-yy"), [1]Monthly!$P:$P, "Not Found")</f>
        <v>58.62166666666667</v>
      </c>
      <c r="D22" cm="1">
        <f t="array" aca="1" ref="D22" ca="1">_xlfn.XLOOKUP(TEXT(A22, "mmm-yy"), TEXT([1]Monthly!$C:$C, "mmm-yy"), [1]Monthly!$R:$R, "Not Found")</f>
        <v>62.389999999999993</v>
      </c>
      <c r="E22" cm="1">
        <f t="array" aca="1" ref="E22" ca="1">_xlfn.XLOOKUP(TEXT(A22, "mmm-yy"), TEXT([1]Monthly!$C:$C, "mmm-yy"), [1]Monthly!$S:$S, "Not Found")</f>
        <v>78.463333333333338</v>
      </c>
      <c r="F22" cm="1">
        <f t="array" aca="1" ref="F22" ca="1">_xlfn.XLOOKUP(TEXT(A22, "mmm-yy"), TEXT([2]RUNS!$B$5:$B$208, "mmm-yy"), [2]RUNS!$D$5:$D$208, "Not Found")</f>
        <v>30749.773032340388</v>
      </c>
      <c r="G22">
        <f>AVERAGE([3]Sheet1!$H2244,[3]Sheet1!$H2506)</f>
        <v>14123.775</v>
      </c>
      <c r="H22">
        <f>AVERAGE([3]Sheet1!$I2244,[3]Sheet1!$I2506)</f>
        <v>1.5249999999999986</v>
      </c>
      <c r="I22" cm="1">
        <f t="array" aca="1" ref="I22" ca="1">_xlfn.XLOOKUP(TEXT(A22, "mmm-yy"), TEXT([2]GASOLINE!$B$5:$B$208, "mmm-yy"), [2]GASOLINE!$IR$5:$IR$208, "Not Found")</f>
        <v>-458.78012714622929</v>
      </c>
      <c r="J22" cm="1">
        <f t="array" aca="1" ref="J22" ca="1">_xlfn.XLOOKUP(TEXT(A22, "mmm-yy"), TEXT([2]GASOLINE!$B$5:$B$208, "mmm-yy"), [2]GASOLINE!$IK$5:$IK$208, "Not Found")</f>
        <v>328.45723596908823</v>
      </c>
      <c r="K22">
        <f t="shared" ca="1" si="0"/>
        <v>1</v>
      </c>
      <c r="L22" cm="1">
        <f t="array" aca="1" ref="L22" ca="1">_xlfn.XLOOKUP(TEXT(A22, "mmm-yy"), TEXT([2]GASOLINE!$B$5:$B$208, "mmm-yy"), [2]GASOLINE!$C$5:$C$208, "Not Found")</f>
        <v>8022.7668951222167</v>
      </c>
      <c r="M22" cm="1">
        <f t="array" aca="1" ref="M22" ca="1">_xlfn.XLOOKUP(TEXT(A22, "mmm-yy"), TEXT([2]RUNS!$B$5:$B$208, "mmm-yy"), [2]RUNS!$BM$5:$BM$208, "Not Found")</f>
        <v>0.83625293458523942</v>
      </c>
    </row>
    <row r="23" spans="1:13" x14ac:dyDescent="0.25">
      <c r="A23" s="1">
        <f t="shared" ca="1" si="1"/>
        <v>45870</v>
      </c>
      <c r="B23" cm="1">
        <f t="array" aca="1" ref="B23" ca="1">_xlfn.XLOOKUP(TEXT(A23, "mmm-yy"), TEXT([1]Monthly!$C:$C, "mmm-yy"), [1]Monthly!$O:$O, "Not Found")</f>
        <v>68.079846847226648</v>
      </c>
      <c r="C23" cm="1">
        <f t="array" aca="1" ref="C23" ca="1">_xlfn.XLOOKUP(TEXT(A23, "mmm-yy"), TEXT([1]Monthly!$C:$C, "mmm-yy"), [1]Monthly!$P:$P, "Not Found")</f>
        <v>67.38393020441211</v>
      </c>
      <c r="D23" cm="1">
        <f t="array" aca="1" ref="D23" ca="1">_xlfn.XLOOKUP(TEXT(A23, "mmm-yy"), TEXT([1]Monthly!$C:$C, "mmm-yy"), [1]Monthly!$R:$R, "Not Found")</f>
        <v>61.744909205123847</v>
      </c>
      <c r="E23" cm="1">
        <f t="array" aca="1" ref="E23" ca="1">_xlfn.XLOOKUP(TEXT(A23, "mmm-yy"), TEXT([1]Monthly!$C:$C, "mmm-yy"), [1]Monthly!$S:$S, "Not Found")</f>
        <v>77.25984684722664</v>
      </c>
      <c r="F23" cm="1">
        <f t="array" aca="1" ref="F23" ca="1">_xlfn.XLOOKUP(TEXT(A23, "mmm-yy"), TEXT([2]RUNS!$B$5:$B$208, "mmm-yy"), [2]RUNS!$D$5:$D$208, "Not Found")</f>
        <v>30977.541385657638</v>
      </c>
      <c r="G23">
        <f>AVERAGE([3]Sheet1!$H2245,[3]Sheet1!$H2507)</f>
        <v>14123.775</v>
      </c>
      <c r="H23">
        <f>AVERAGE([3]Sheet1!$I2245,[3]Sheet1!$I2507)</f>
        <v>1.6750000000000043</v>
      </c>
      <c r="I23" cm="1">
        <f t="array" aca="1" ref="I23" ca="1">_xlfn.XLOOKUP(TEXT(A23, "mmm-yy"), TEXT([2]GASOLINE!$B$5:$B$208, "mmm-yy"), [2]GASOLINE!$IR$5:$IR$208, "Not Found")</f>
        <v>-367.20817076565578</v>
      </c>
      <c r="J23" cm="1">
        <f t="array" aca="1" ref="J23" ca="1">_xlfn.XLOOKUP(TEXT(A23, "mmm-yy"), TEXT([2]GASOLINE!$B$5:$B$208, "mmm-yy"), [2]GASOLINE!$IK$5:$IK$208, "Not Found")</f>
        <v>323.74339898225111</v>
      </c>
      <c r="K23">
        <f t="shared" ca="1" si="0"/>
        <v>1</v>
      </c>
      <c r="L23" cm="1">
        <f t="array" aca="1" ref="L23" ca="1">_xlfn.XLOOKUP(TEXT(A23, "mmm-yy"), TEXT([2]GASOLINE!$B$5:$B$208, "mmm-yy"), [2]GASOLINE!$C$5:$C$208, "Not Found")</f>
        <v>8106.1435859194589</v>
      </c>
      <c r="M23" cm="1">
        <f t="array" aca="1" ref="M23" ca="1">_xlfn.XLOOKUP(TEXT(A23, "mmm-yy"), TEXT([2]RUNS!$B$5:$B$208, "mmm-yy"), [2]RUNS!$BM$5:$BM$208, "Not Found")</f>
        <v>0.84244719018728476</v>
      </c>
    </row>
    <row r="24" spans="1:13" x14ac:dyDescent="0.25">
      <c r="A24" s="1">
        <f t="shared" ca="1" si="1"/>
        <v>45871</v>
      </c>
      <c r="B24" cm="1">
        <f t="array" aca="1" ref="B24" ca="1">_xlfn.XLOOKUP(TEXT(A24, "mmm-yy"), TEXT([1]Monthly!$C:$C, "mmm-yy"), [1]Monthly!$O:$O, "Not Found")</f>
        <v>68.079846847226648</v>
      </c>
      <c r="C24" cm="1">
        <f t="array" aca="1" ref="C24" ca="1">_xlfn.XLOOKUP(TEXT(A24, "mmm-yy"), TEXT([1]Monthly!$C:$C, "mmm-yy"), [1]Monthly!$P:$P, "Not Found")</f>
        <v>67.38393020441211</v>
      </c>
      <c r="D24" cm="1">
        <f t="array" aca="1" ref="D24" ca="1">_xlfn.XLOOKUP(TEXT(A24, "mmm-yy"), TEXT([1]Monthly!$C:$C, "mmm-yy"), [1]Monthly!$R:$R, "Not Found")</f>
        <v>61.744909205123847</v>
      </c>
      <c r="E24" cm="1">
        <f t="array" aca="1" ref="E24" ca="1">_xlfn.XLOOKUP(TEXT(A24, "mmm-yy"), TEXT([1]Monthly!$C:$C, "mmm-yy"), [1]Monthly!$S:$S, "Not Found")</f>
        <v>77.25984684722664</v>
      </c>
      <c r="F24" cm="1">
        <f t="array" aca="1" ref="F24" ca="1">_xlfn.XLOOKUP(TEXT(A24, "mmm-yy"), TEXT([2]RUNS!$B$5:$B$208, "mmm-yy"), [2]RUNS!$D$5:$D$208, "Not Found")</f>
        <v>30977.541385657638</v>
      </c>
      <c r="G24">
        <f>AVERAGE([3]Sheet1!$H2246,[3]Sheet1!$H2508)</f>
        <v>14123.775</v>
      </c>
      <c r="H24">
        <f>AVERAGE([3]Sheet1!$I2246,[3]Sheet1!$I2508)</f>
        <v>2.105000000000004</v>
      </c>
      <c r="I24" cm="1">
        <f t="array" aca="1" ref="I24" ca="1">_xlfn.XLOOKUP(TEXT(A24, "mmm-yy"), TEXT([2]GASOLINE!$B$5:$B$208, "mmm-yy"), [2]GASOLINE!$IR$5:$IR$208, "Not Found")</f>
        <v>-367.20817076565578</v>
      </c>
      <c r="J24" cm="1">
        <f t="array" aca="1" ref="J24" ca="1">_xlfn.XLOOKUP(TEXT(A24, "mmm-yy"), TEXT([2]GASOLINE!$B$5:$B$208, "mmm-yy"), [2]GASOLINE!$IK$5:$IK$208, "Not Found")</f>
        <v>323.74339898225111</v>
      </c>
      <c r="K24">
        <f t="shared" ca="1" si="0"/>
        <v>1</v>
      </c>
      <c r="L24" cm="1">
        <f t="array" aca="1" ref="L24" ca="1">_xlfn.XLOOKUP(TEXT(A24, "mmm-yy"), TEXT([2]GASOLINE!$B$5:$B$208, "mmm-yy"), [2]GASOLINE!$C$5:$C$208, "Not Found")</f>
        <v>8106.1435859194589</v>
      </c>
      <c r="M24" cm="1">
        <f t="array" aca="1" ref="M24" ca="1">_xlfn.XLOOKUP(TEXT(A24, "mmm-yy"), TEXT([2]RUNS!$B$5:$B$208, "mmm-yy"), [2]RUNS!$BM$5:$BM$208, "Not Found")</f>
        <v>0.84244719018728476</v>
      </c>
    </row>
    <row r="25" spans="1:13" x14ac:dyDescent="0.25">
      <c r="A25" s="1">
        <f t="shared" ca="1" si="1"/>
        <v>45872</v>
      </c>
      <c r="B25" cm="1">
        <f t="array" aca="1" ref="B25" ca="1">_xlfn.XLOOKUP(TEXT(A25, "mmm-yy"), TEXT([1]Monthly!$C:$C, "mmm-yy"), [1]Monthly!$O:$O, "Not Found")</f>
        <v>68.079846847226648</v>
      </c>
      <c r="C25" cm="1">
        <f t="array" aca="1" ref="C25" ca="1">_xlfn.XLOOKUP(TEXT(A25, "mmm-yy"), TEXT([1]Monthly!$C:$C, "mmm-yy"), [1]Monthly!$P:$P, "Not Found")</f>
        <v>67.38393020441211</v>
      </c>
      <c r="D25" cm="1">
        <f t="array" aca="1" ref="D25" ca="1">_xlfn.XLOOKUP(TEXT(A25, "mmm-yy"), TEXT([1]Monthly!$C:$C, "mmm-yy"), [1]Monthly!$R:$R, "Not Found")</f>
        <v>61.744909205123847</v>
      </c>
      <c r="E25" cm="1">
        <f t="array" aca="1" ref="E25" ca="1">_xlfn.XLOOKUP(TEXT(A25, "mmm-yy"), TEXT([1]Monthly!$C:$C, "mmm-yy"), [1]Monthly!$S:$S, "Not Found")</f>
        <v>77.25984684722664</v>
      </c>
      <c r="F25" cm="1">
        <f t="array" aca="1" ref="F25" ca="1">_xlfn.XLOOKUP(TEXT(A25, "mmm-yy"), TEXT([2]RUNS!$B$5:$B$208, "mmm-yy"), [2]RUNS!$D$5:$D$208, "Not Found")</f>
        <v>30977.541385657638</v>
      </c>
      <c r="G25">
        <f>AVERAGE([3]Sheet1!$H2247,[3]Sheet1!$H2509)</f>
        <v>14123.775</v>
      </c>
      <c r="H25">
        <f>AVERAGE([3]Sheet1!$I2247,[3]Sheet1!$I2509)</f>
        <v>2.105000000000004</v>
      </c>
      <c r="I25" cm="1">
        <f t="array" aca="1" ref="I25" ca="1">_xlfn.XLOOKUP(TEXT(A25, "mmm-yy"), TEXT([2]GASOLINE!$B$5:$B$208, "mmm-yy"), [2]GASOLINE!$IR$5:$IR$208, "Not Found")</f>
        <v>-367.20817076565578</v>
      </c>
      <c r="J25" cm="1">
        <f t="array" aca="1" ref="J25" ca="1">_xlfn.XLOOKUP(TEXT(A25, "mmm-yy"), TEXT([2]GASOLINE!$B$5:$B$208, "mmm-yy"), [2]GASOLINE!$IK$5:$IK$208, "Not Found")</f>
        <v>323.74339898225111</v>
      </c>
      <c r="K25">
        <f t="shared" ca="1" si="0"/>
        <v>1</v>
      </c>
      <c r="L25" cm="1">
        <f t="array" aca="1" ref="L25" ca="1">_xlfn.XLOOKUP(TEXT(A25, "mmm-yy"), TEXT([2]GASOLINE!$B$5:$B$208, "mmm-yy"), [2]GASOLINE!$C$5:$C$208, "Not Found")</f>
        <v>8106.1435859194589</v>
      </c>
      <c r="M25" cm="1">
        <f t="array" aca="1" ref="M25" ca="1">_xlfn.XLOOKUP(TEXT(A25, "mmm-yy"), TEXT([2]RUNS!$B$5:$B$208, "mmm-yy"), [2]RUNS!$BM$5:$BM$208, "Not Found")</f>
        <v>0.84244719018728476</v>
      </c>
    </row>
    <row r="26" spans="1:13" x14ac:dyDescent="0.25">
      <c r="A26" s="1">
        <f t="shared" ca="1" si="1"/>
        <v>45873</v>
      </c>
      <c r="B26" cm="1">
        <f t="array" aca="1" ref="B26" ca="1">_xlfn.XLOOKUP(TEXT(A26, "mmm-yy"), TEXT([1]Monthly!$C:$C, "mmm-yy"), [1]Monthly!$O:$O, "Not Found")</f>
        <v>68.079846847226648</v>
      </c>
      <c r="C26" cm="1">
        <f t="array" aca="1" ref="C26" ca="1">_xlfn.XLOOKUP(TEXT(A26, "mmm-yy"), TEXT([1]Monthly!$C:$C, "mmm-yy"), [1]Monthly!$P:$P, "Not Found")</f>
        <v>67.38393020441211</v>
      </c>
      <c r="D26" cm="1">
        <f t="array" aca="1" ref="D26" ca="1">_xlfn.XLOOKUP(TEXT(A26, "mmm-yy"), TEXT([1]Monthly!$C:$C, "mmm-yy"), [1]Monthly!$R:$R, "Not Found")</f>
        <v>61.744909205123847</v>
      </c>
      <c r="E26" cm="1">
        <f t="array" aca="1" ref="E26" ca="1">_xlfn.XLOOKUP(TEXT(A26, "mmm-yy"), TEXT([1]Monthly!$C:$C, "mmm-yy"), [1]Monthly!$S:$S, "Not Found")</f>
        <v>77.25984684722664</v>
      </c>
      <c r="F26" cm="1">
        <f t="array" aca="1" ref="F26" ca="1">_xlfn.XLOOKUP(TEXT(A26, "mmm-yy"), TEXT([2]RUNS!$B$5:$B$208, "mmm-yy"), [2]RUNS!$D$5:$D$208, "Not Found")</f>
        <v>30977.541385657638</v>
      </c>
      <c r="G26">
        <f>AVERAGE([3]Sheet1!$H2248,[3]Sheet1!$H2510)</f>
        <v>14123.775</v>
      </c>
      <c r="H26">
        <f>AVERAGE([3]Sheet1!$I2248,[3]Sheet1!$I2510)</f>
        <v>2.1199999999999974</v>
      </c>
      <c r="I26" cm="1">
        <f t="array" aca="1" ref="I26" ca="1">_xlfn.XLOOKUP(TEXT(A26, "mmm-yy"), TEXT([2]GASOLINE!$B$5:$B$208, "mmm-yy"), [2]GASOLINE!$IR$5:$IR$208, "Not Found")</f>
        <v>-367.20817076565578</v>
      </c>
      <c r="J26" cm="1">
        <f t="array" aca="1" ref="J26" ca="1">_xlfn.XLOOKUP(TEXT(A26, "mmm-yy"), TEXT([2]GASOLINE!$B$5:$B$208, "mmm-yy"), [2]GASOLINE!$IK$5:$IK$208, "Not Found")</f>
        <v>323.74339898225111</v>
      </c>
      <c r="K26">
        <f t="shared" ca="1" si="0"/>
        <v>1</v>
      </c>
      <c r="L26" cm="1">
        <f t="array" aca="1" ref="L26" ca="1">_xlfn.XLOOKUP(TEXT(A26, "mmm-yy"), TEXT([2]GASOLINE!$B$5:$B$208, "mmm-yy"), [2]GASOLINE!$C$5:$C$208, "Not Found")</f>
        <v>8106.1435859194589</v>
      </c>
      <c r="M26" cm="1">
        <f t="array" aca="1" ref="M26" ca="1">_xlfn.XLOOKUP(TEXT(A26, "mmm-yy"), TEXT([2]RUNS!$B$5:$B$208, "mmm-yy"), [2]RUNS!$BM$5:$BM$208, "Not Found")</f>
        <v>0.84244719018728476</v>
      </c>
    </row>
    <row r="27" spans="1:13" x14ac:dyDescent="0.25">
      <c r="A27" s="1">
        <f t="shared" ca="1" si="1"/>
        <v>45874</v>
      </c>
      <c r="B27" cm="1">
        <f t="array" aca="1" ref="B27" ca="1">_xlfn.XLOOKUP(TEXT(A27, "mmm-yy"), TEXT([1]Monthly!$C:$C, "mmm-yy"), [1]Monthly!$O:$O, "Not Found")</f>
        <v>68.079846847226648</v>
      </c>
      <c r="C27" cm="1">
        <f t="array" aca="1" ref="C27" ca="1">_xlfn.XLOOKUP(TEXT(A27, "mmm-yy"), TEXT([1]Monthly!$C:$C, "mmm-yy"), [1]Monthly!$P:$P, "Not Found")</f>
        <v>67.38393020441211</v>
      </c>
      <c r="D27" cm="1">
        <f t="array" aca="1" ref="D27" ca="1">_xlfn.XLOOKUP(TEXT(A27, "mmm-yy"), TEXT([1]Monthly!$C:$C, "mmm-yy"), [1]Monthly!$R:$R, "Not Found")</f>
        <v>61.744909205123847</v>
      </c>
      <c r="E27" cm="1">
        <f t="array" aca="1" ref="E27" ca="1">_xlfn.XLOOKUP(TEXT(A27, "mmm-yy"), TEXT([1]Monthly!$C:$C, "mmm-yy"), [1]Monthly!$S:$S, "Not Found")</f>
        <v>77.25984684722664</v>
      </c>
      <c r="F27" cm="1">
        <f t="array" aca="1" ref="F27" ca="1">_xlfn.XLOOKUP(TEXT(A27, "mmm-yy"), TEXT([2]RUNS!$B$5:$B$208, "mmm-yy"), [2]RUNS!$D$5:$D$208, "Not Found")</f>
        <v>30977.541385657638</v>
      </c>
      <c r="G27">
        <f>AVERAGE([3]Sheet1!$H2249,[3]Sheet1!$H2511)</f>
        <v>14123.775</v>
      </c>
      <c r="H27">
        <f>AVERAGE([3]Sheet1!$I2249,[3]Sheet1!$I2511)</f>
        <v>2.0449999999999946</v>
      </c>
      <c r="I27" cm="1">
        <f t="array" aca="1" ref="I27" ca="1">_xlfn.XLOOKUP(TEXT(A27, "mmm-yy"), TEXT([2]GASOLINE!$B$5:$B$208, "mmm-yy"), [2]GASOLINE!$IR$5:$IR$208, "Not Found")</f>
        <v>-367.20817076565578</v>
      </c>
      <c r="J27" cm="1">
        <f t="array" aca="1" ref="J27" ca="1">_xlfn.XLOOKUP(TEXT(A27, "mmm-yy"), TEXT([2]GASOLINE!$B$5:$B$208, "mmm-yy"), [2]GASOLINE!$IK$5:$IK$208, "Not Found")</f>
        <v>323.74339898225111</v>
      </c>
      <c r="K27">
        <f t="shared" ca="1" si="0"/>
        <v>1</v>
      </c>
      <c r="L27" cm="1">
        <f t="array" aca="1" ref="L27" ca="1">_xlfn.XLOOKUP(TEXT(A27, "mmm-yy"), TEXT([2]GASOLINE!$B$5:$B$208, "mmm-yy"), [2]GASOLINE!$C$5:$C$208, "Not Found")</f>
        <v>8106.1435859194589</v>
      </c>
      <c r="M27" cm="1">
        <f t="array" aca="1" ref="M27" ca="1">_xlfn.XLOOKUP(TEXT(A27, "mmm-yy"), TEXT([2]RUNS!$B$5:$B$208, "mmm-yy"), [2]RUNS!$BM$5:$BM$208, "Not Found")</f>
        <v>0.84244719018728476</v>
      </c>
    </row>
    <row r="28" spans="1:13" x14ac:dyDescent="0.25">
      <c r="A28" s="1">
        <f t="shared" ca="1" si="1"/>
        <v>45875</v>
      </c>
      <c r="B28" cm="1">
        <f t="array" aca="1" ref="B28" ca="1">_xlfn.XLOOKUP(TEXT(A28, "mmm-yy"), TEXT([1]Monthly!$C:$C, "mmm-yy"), [1]Monthly!$O:$O, "Not Found")</f>
        <v>68.079846847226648</v>
      </c>
      <c r="C28" cm="1">
        <f t="array" aca="1" ref="C28" ca="1">_xlfn.XLOOKUP(TEXT(A28, "mmm-yy"), TEXT([1]Monthly!$C:$C, "mmm-yy"), [1]Monthly!$P:$P, "Not Found")</f>
        <v>67.38393020441211</v>
      </c>
      <c r="D28" cm="1">
        <f t="array" aca="1" ref="D28" ca="1">_xlfn.XLOOKUP(TEXT(A28, "mmm-yy"), TEXT([1]Monthly!$C:$C, "mmm-yy"), [1]Monthly!$R:$R, "Not Found")</f>
        <v>61.744909205123847</v>
      </c>
      <c r="E28" cm="1">
        <f t="array" aca="1" ref="E28" ca="1">_xlfn.XLOOKUP(TEXT(A28, "mmm-yy"), TEXT([1]Monthly!$C:$C, "mmm-yy"), [1]Monthly!$S:$S, "Not Found")</f>
        <v>77.25984684722664</v>
      </c>
      <c r="F28" cm="1">
        <f t="array" aca="1" ref="F28" ca="1">_xlfn.XLOOKUP(TEXT(A28, "mmm-yy"), TEXT([2]RUNS!$B$5:$B$208, "mmm-yy"), [2]RUNS!$D$5:$D$208, "Not Found")</f>
        <v>30977.541385657638</v>
      </c>
      <c r="G28">
        <f>AVERAGE([3]Sheet1!$H2250,[3]Sheet1!$H2512)</f>
        <v>14123.775</v>
      </c>
      <c r="H28">
        <f>AVERAGE([3]Sheet1!$I2250,[3]Sheet1!$I2512)</f>
        <v>2.0249999999999986</v>
      </c>
      <c r="I28" cm="1">
        <f t="array" aca="1" ref="I28" ca="1">_xlfn.XLOOKUP(TEXT(A28, "mmm-yy"), TEXT([2]GASOLINE!$B$5:$B$208, "mmm-yy"), [2]GASOLINE!$IR$5:$IR$208, "Not Found")</f>
        <v>-367.20817076565578</v>
      </c>
      <c r="J28" cm="1">
        <f t="array" aca="1" ref="J28" ca="1">_xlfn.XLOOKUP(TEXT(A28, "mmm-yy"), TEXT([2]GASOLINE!$B$5:$B$208, "mmm-yy"), [2]GASOLINE!$IK$5:$IK$208, "Not Found")</f>
        <v>323.74339898225111</v>
      </c>
      <c r="K28">
        <f t="shared" ca="1" si="0"/>
        <v>1</v>
      </c>
      <c r="L28" cm="1">
        <f t="array" aca="1" ref="L28" ca="1">_xlfn.XLOOKUP(TEXT(A28, "mmm-yy"), TEXT([2]GASOLINE!$B$5:$B$208, "mmm-yy"), [2]GASOLINE!$C$5:$C$208, "Not Found")</f>
        <v>8106.1435859194589</v>
      </c>
      <c r="M28" cm="1">
        <f t="array" aca="1" ref="M28" ca="1">_xlfn.XLOOKUP(TEXT(A28, "mmm-yy"), TEXT([2]RUNS!$B$5:$B$208, "mmm-yy"), [2]RUNS!$BM$5:$BM$208, "Not Found")</f>
        <v>0.84244719018728476</v>
      </c>
    </row>
    <row r="29" spans="1:13" x14ac:dyDescent="0.25">
      <c r="A29" s="1">
        <f t="shared" ca="1" si="1"/>
        <v>45876</v>
      </c>
      <c r="B29" cm="1">
        <f t="array" aca="1" ref="B29" ca="1">_xlfn.XLOOKUP(TEXT(A29, "mmm-yy"), TEXT([1]Monthly!$C:$C, "mmm-yy"), [1]Monthly!$O:$O, "Not Found")</f>
        <v>68.079846847226648</v>
      </c>
      <c r="C29" cm="1">
        <f t="array" aca="1" ref="C29" ca="1">_xlfn.XLOOKUP(TEXT(A29, "mmm-yy"), TEXT([1]Monthly!$C:$C, "mmm-yy"), [1]Monthly!$P:$P, "Not Found")</f>
        <v>67.38393020441211</v>
      </c>
      <c r="D29" cm="1">
        <f t="array" aca="1" ref="D29" ca="1">_xlfn.XLOOKUP(TEXT(A29, "mmm-yy"), TEXT([1]Monthly!$C:$C, "mmm-yy"), [1]Monthly!$R:$R, "Not Found")</f>
        <v>61.744909205123847</v>
      </c>
      <c r="E29" cm="1">
        <f t="array" aca="1" ref="E29" ca="1">_xlfn.XLOOKUP(TEXT(A29, "mmm-yy"), TEXT([1]Monthly!$C:$C, "mmm-yy"), [1]Monthly!$S:$S, "Not Found")</f>
        <v>77.25984684722664</v>
      </c>
      <c r="F29" cm="1">
        <f t="array" aca="1" ref="F29" ca="1">_xlfn.XLOOKUP(TEXT(A29, "mmm-yy"), TEXT([2]RUNS!$B$5:$B$208, "mmm-yy"), [2]RUNS!$D$5:$D$208, "Not Found")</f>
        <v>30977.541385657638</v>
      </c>
      <c r="G29">
        <f>AVERAGE([3]Sheet1!$H2251,[3]Sheet1!$H2513)</f>
        <v>14123.775</v>
      </c>
      <c r="H29">
        <f>AVERAGE([3]Sheet1!$I2251,[3]Sheet1!$I2513)</f>
        <v>2.2700000000000031</v>
      </c>
      <c r="I29" cm="1">
        <f t="array" aca="1" ref="I29" ca="1">_xlfn.XLOOKUP(TEXT(A29, "mmm-yy"), TEXT([2]GASOLINE!$B$5:$B$208, "mmm-yy"), [2]GASOLINE!$IR$5:$IR$208, "Not Found")</f>
        <v>-367.20817076565578</v>
      </c>
      <c r="J29" cm="1">
        <f t="array" aca="1" ref="J29" ca="1">_xlfn.XLOOKUP(TEXT(A29, "mmm-yy"), TEXT([2]GASOLINE!$B$5:$B$208, "mmm-yy"), [2]GASOLINE!$IK$5:$IK$208, "Not Found")</f>
        <v>323.74339898225111</v>
      </c>
      <c r="K29">
        <f t="shared" ca="1" si="0"/>
        <v>1</v>
      </c>
      <c r="L29" cm="1">
        <f t="array" aca="1" ref="L29" ca="1">_xlfn.XLOOKUP(TEXT(A29, "mmm-yy"), TEXT([2]GASOLINE!$B$5:$B$208, "mmm-yy"), [2]GASOLINE!$C$5:$C$208, "Not Found")</f>
        <v>8106.1435859194589</v>
      </c>
      <c r="M29" cm="1">
        <f t="array" aca="1" ref="M29" ca="1">_xlfn.XLOOKUP(TEXT(A29, "mmm-yy"), TEXT([2]RUNS!$B$5:$B$208, "mmm-yy"), [2]RUNS!$BM$5:$BM$208, "Not Found")</f>
        <v>0.84244719018728476</v>
      </c>
    </row>
    <row r="30" spans="1:13" x14ac:dyDescent="0.25">
      <c r="A30" s="1">
        <f t="shared" ca="1" si="1"/>
        <v>45877</v>
      </c>
      <c r="B30" cm="1">
        <f t="array" aca="1" ref="B30" ca="1">_xlfn.XLOOKUP(TEXT(A30, "mmm-yy"), TEXT([1]Monthly!$C:$C, "mmm-yy"), [1]Monthly!$O:$O, "Not Found")</f>
        <v>68.079846847226648</v>
      </c>
      <c r="C30" cm="1">
        <f t="array" aca="1" ref="C30" ca="1">_xlfn.XLOOKUP(TEXT(A30, "mmm-yy"), TEXT([1]Monthly!$C:$C, "mmm-yy"), [1]Monthly!$P:$P, "Not Found")</f>
        <v>67.38393020441211</v>
      </c>
      <c r="D30" cm="1">
        <f t="array" aca="1" ref="D30" ca="1">_xlfn.XLOOKUP(TEXT(A30, "mmm-yy"), TEXT([1]Monthly!$C:$C, "mmm-yy"), [1]Monthly!$R:$R, "Not Found")</f>
        <v>61.744909205123847</v>
      </c>
      <c r="E30" cm="1">
        <f t="array" aca="1" ref="E30" ca="1">_xlfn.XLOOKUP(TEXT(A30, "mmm-yy"), TEXT([1]Monthly!$C:$C, "mmm-yy"), [1]Monthly!$S:$S, "Not Found")</f>
        <v>77.25984684722664</v>
      </c>
      <c r="F30" cm="1">
        <f t="array" aca="1" ref="F30" ca="1">_xlfn.XLOOKUP(TEXT(A30, "mmm-yy"), TEXT([2]RUNS!$B$5:$B$208, "mmm-yy"), [2]RUNS!$D$5:$D$208, "Not Found")</f>
        <v>30977.541385657638</v>
      </c>
      <c r="G30">
        <f>AVERAGE([3]Sheet1!$H2252,[3]Sheet1!$H2514)</f>
        <v>14123.775</v>
      </c>
      <c r="H30">
        <f>AVERAGE([3]Sheet1!$I2252,[3]Sheet1!$I2514)</f>
        <v>2.259999999999998</v>
      </c>
      <c r="I30" cm="1">
        <f t="array" aca="1" ref="I30" ca="1">_xlfn.XLOOKUP(TEXT(A30, "mmm-yy"), TEXT([2]GASOLINE!$B$5:$B$208, "mmm-yy"), [2]GASOLINE!$IR$5:$IR$208, "Not Found")</f>
        <v>-367.20817076565578</v>
      </c>
      <c r="J30" cm="1">
        <f t="array" aca="1" ref="J30" ca="1">_xlfn.XLOOKUP(TEXT(A30, "mmm-yy"), TEXT([2]GASOLINE!$B$5:$B$208, "mmm-yy"), [2]GASOLINE!$IK$5:$IK$208, "Not Found")</f>
        <v>323.74339898225111</v>
      </c>
      <c r="K30">
        <f t="shared" ca="1" si="0"/>
        <v>1</v>
      </c>
      <c r="L30" cm="1">
        <f t="array" aca="1" ref="L30" ca="1">_xlfn.XLOOKUP(TEXT(A30, "mmm-yy"), TEXT([2]GASOLINE!$B$5:$B$208, "mmm-yy"), [2]GASOLINE!$C$5:$C$208, "Not Found")</f>
        <v>8106.1435859194589</v>
      </c>
      <c r="M30" cm="1">
        <f t="array" aca="1" ref="M30" ca="1">_xlfn.XLOOKUP(TEXT(A30, "mmm-yy"), TEXT([2]RUNS!$B$5:$B$208, "mmm-yy"), [2]RUNS!$BM$5:$BM$208, "Not Found")</f>
        <v>0.84244719018728476</v>
      </c>
    </row>
    <row r="31" spans="1:13" x14ac:dyDescent="0.25">
      <c r="A31" s="1">
        <f t="shared" ca="1" si="1"/>
        <v>45878</v>
      </c>
      <c r="B31" cm="1">
        <f t="array" aca="1" ref="B31" ca="1">_xlfn.XLOOKUP(TEXT(A31, "mmm-yy"), TEXT([1]Monthly!$C:$C, "mmm-yy"), [1]Monthly!$O:$O, "Not Found")</f>
        <v>68.079846847226648</v>
      </c>
      <c r="C31" cm="1">
        <f t="array" aca="1" ref="C31" ca="1">_xlfn.XLOOKUP(TEXT(A31, "mmm-yy"), TEXT([1]Monthly!$C:$C, "mmm-yy"), [1]Monthly!$P:$P, "Not Found")</f>
        <v>67.38393020441211</v>
      </c>
      <c r="D31" cm="1">
        <f t="array" aca="1" ref="D31" ca="1">_xlfn.XLOOKUP(TEXT(A31, "mmm-yy"), TEXT([1]Monthly!$C:$C, "mmm-yy"), [1]Monthly!$R:$R, "Not Found")</f>
        <v>61.744909205123847</v>
      </c>
      <c r="E31" cm="1">
        <f t="array" aca="1" ref="E31" ca="1">_xlfn.XLOOKUP(TEXT(A31, "mmm-yy"), TEXT([1]Monthly!$C:$C, "mmm-yy"), [1]Monthly!$S:$S, "Not Found")</f>
        <v>77.25984684722664</v>
      </c>
      <c r="F31" cm="1">
        <f t="array" aca="1" ref="F31" ca="1">_xlfn.XLOOKUP(TEXT(A31, "mmm-yy"), TEXT([2]RUNS!$B$5:$B$208, "mmm-yy"), [2]RUNS!$D$5:$D$208, "Not Found")</f>
        <v>30977.541385657638</v>
      </c>
      <c r="G31">
        <f>AVERAGE([3]Sheet1!$H2253,[3]Sheet1!$H2515)</f>
        <v>14123.775</v>
      </c>
      <c r="H31">
        <f>AVERAGE([3]Sheet1!$I2253,[3]Sheet1!$I2515)</f>
        <v>2.1749999999999972</v>
      </c>
      <c r="I31" cm="1">
        <f t="array" aca="1" ref="I31" ca="1">_xlfn.XLOOKUP(TEXT(A31, "mmm-yy"), TEXT([2]GASOLINE!$B$5:$B$208, "mmm-yy"), [2]GASOLINE!$IR$5:$IR$208, "Not Found")</f>
        <v>-367.20817076565578</v>
      </c>
      <c r="J31" cm="1">
        <f t="array" aca="1" ref="J31" ca="1">_xlfn.XLOOKUP(TEXT(A31, "mmm-yy"), TEXT([2]GASOLINE!$B$5:$B$208, "mmm-yy"), [2]GASOLINE!$IK$5:$IK$208, "Not Found")</f>
        <v>323.74339898225111</v>
      </c>
      <c r="K31">
        <f t="shared" ca="1" si="0"/>
        <v>1</v>
      </c>
      <c r="L31" cm="1">
        <f t="array" aca="1" ref="L31" ca="1">_xlfn.XLOOKUP(TEXT(A31, "mmm-yy"), TEXT([2]GASOLINE!$B$5:$B$208, "mmm-yy"), [2]GASOLINE!$C$5:$C$208, "Not Found")</f>
        <v>8106.1435859194589</v>
      </c>
      <c r="M31" cm="1">
        <f t="array" aca="1" ref="M31" ca="1">_xlfn.XLOOKUP(TEXT(A31, "mmm-yy"), TEXT([2]RUNS!$B$5:$B$208, "mmm-yy"), [2]RUNS!$BM$5:$BM$208, "Not Found")</f>
        <v>0.84244719018728476</v>
      </c>
    </row>
    <row r="32" spans="1:13" x14ac:dyDescent="0.25">
      <c r="A32" s="1">
        <f t="shared" ca="1" si="1"/>
        <v>45879</v>
      </c>
      <c r="B32" cm="1">
        <f t="array" aca="1" ref="B32" ca="1">_xlfn.XLOOKUP(TEXT(A32, "mmm-yy"), TEXT([1]Monthly!$C:$C, "mmm-yy"), [1]Monthly!$O:$O, "Not Found")</f>
        <v>68.079846847226648</v>
      </c>
      <c r="C32" cm="1">
        <f t="array" aca="1" ref="C32" ca="1">_xlfn.XLOOKUP(TEXT(A32, "mmm-yy"), TEXT([1]Monthly!$C:$C, "mmm-yy"), [1]Monthly!$P:$P, "Not Found")</f>
        <v>67.38393020441211</v>
      </c>
      <c r="D32" cm="1">
        <f t="array" aca="1" ref="D32" ca="1">_xlfn.XLOOKUP(TEXT(A32, "mmm-yy"), TEXT([1]Monthly!$C:$C, "mmm-yy"), [1]Monthly!$R:$R, "Not Found")</f>
        <v>61.744909205123847</v>
      </c>
      <c r="E32" cm="1">
        <f t="array" aca="1" ref="E32" ca="1">_xlfn.XLOOKUP(TEXT(A32, "mmm-yy"), TEXT([1]Monthly!$C:$C, "mmm-yy"), [1]Monthly!$S:$S, "Not Found")</f>
        <v>77.25984684722664</v>
      </c>
      <c r="F32" cm="1">
        <f t="array" aca="1" ref="F32" ca="1">_xlfn.XLOOKUP(TEXT(A32, "mmm-yy"), TEXT([2]RUNS!$B$5:$B$208, "mmm-yy"), [2]RUNS!$D$5:$D$208, "Not Found")</f>
        <v>30977.541385657638</v>
      </c>
      <c r="G32">
        <f>AVERAGE([3]Sheet1!$H2254,[3]Sheet1!$H2516)</f>
        <v>14123.775</v>
      </c>
      <c r="H32">
        <f>AVERAGE([3]Sheet1!$I2254,[3]Sheet1!$I2516)</f>
        <v>2.2349999999999994</v>
      </c>
      <c r="I32" cm="1">
        <f t="array" aca="1" ref="I32" ca="1">_xlfn.XLOOKUP(TEXT(A32, "mmm-yy"), TEXT([2]GASOLINE!$B$5:$B$208, "mmm-yy"), [2]GASOLINE!$IR$5:$IR$208, "Not Found")</f>
        <v>-367.20817076565578</v>
      </c>
      <c r="J32" cm="1">
        <f t="array" aca="1" ref="J32" ca="1">_xlfn.XLOOKUP(TEXT(A32, "mmm-yy"), TEXT([2]GASOLINE!$B$5:$B$208, "mmm-yy"), [2]GASOLINE!$IK$5:$IK$208, "Not Found")</f>
        <v>323.74339898225111</v>
      </c>
      <c r="K32">
        <f t="shared" ca="1" si="0"/>
        <v>1</v>
      </c>
      <c r="L32" cm="1">
        <f t="array" aca="1" ref="L32" ca="1">_xlfn.XLOOKUP(TEXT(A32, "mmm-yy"), TEXT([2]GASOLINE!$B$5:$B$208, "mmm-yy"), [2]GASOLINE!$C$5:$C$208, "Not Found")</f>
        <v>8106.1435859194589</v>
      </c>
      <c r="M32" cm="1">
        <f t="array" aca="1" ref="M32" ca="1">_xlfn.XLOOKUP(TEXT(A32, "mmm-yy"), TEXT([2]RUNS!$B$5:$B$208, "mmm-yy"), [2]RUNS!$BM$5:$BM$208, "Not Found")</f>
        <v>0.84244719018728476</v>
      </c>
    </row>
    <row r="33" spans="1:13" x14ac:dyDescent="0.25">
      <c r="A33" s="1">
        <f t="shared" ca="1" si="1"/>
        <v>45880</v>
      </c>
      <c r="B33" cm="1">
        <f t="array" aca="1" ref="B33" ca="1">_xlfn.XLOOKUP(TEXT(A33, "mmm-yy"), TEXT([1]Monthly!$C:$C, "mmm-yy"), [1]Monthly!$O:$O, "Not Found")</f>
        <v>68.079846847226648</v>
      </c>
      <c r="C33" cm="1">
        <f t="array" aca="1" ref="C33" ca="1">_xlfn.XLOOKUP(TEXT(A33, "mmm-yy"), TEXT([1]Monthly!$C:$C, "mmm-yy"), [1]Monthly!$P:$P, "Not Found")</f>
        <v>67.38393020441211</v>
      </c>
      <c r="D33" cm="1">
        <f t="array" aca="1" ref="D33" ca="1">_xlfn.XLOOKUP(TEXT(A33, "mmm-yy"), TEXT([1]Monthly!$C:$C, "mmm-yy"), [1]Monthly!$R:$R, "Not Found")</f>
        <v>61.744909205123847</v>
      </c>
      <c r="E33" cm="1">
        <f t="array" aca="1" ref="E33" ca="1">_xlfn.XLOOKUP(TEXT(A33, "mmm-yy"), TEXT([1]Monthly!$C:$C, "mmm-yy"), [1]Monthly!$S:$S, "Not Found")</f>
        <v>77.25984684722664</v>
      </c>
      <c r="F33" cm="1">
        <f t="array" aca="1" ref="F33" ca="1">_xlfn.XLOOKUP(TEXT(A33, "mmm-yy"), TEXT([2]RUNS!$B$5:$B$208, "mmm-yy"), [2]RUNS!$D$5:$D$208, "Not Found")</f>
        <v>30977.541385657638</v>
      </c>
      <c r="G33">
        <f>AVERAGE([3]Sheet1!$H2255,[3]Sheet1!$H2517)</f>
        <v>14123.775</v>
      </c>
      <c r="H33">
        <f>AVERAGE([3]Sheet1!$I2255,[3]Sheet1!$I2517)</f>
        <v>2.25</v>
      </c>
      <c r="I33" cm="1">
        <f t="array" aca="1" ref="I33" ca="1">_xlfn.XLOOKUP(TEXT(A33, "mmm-yy"), TEXT([2]GASOLINE!$B$5:$B$208, "mmm-yy"), [2]GASOLINE!$IR$5:$IR$208, "Not Found")</f>
        <v>-367.20817076565578</v>
      </c>
      <c r="J33" cm="1">
        <f t="array" aca="1" ref="J33" ca="1">_xlfn.XLOOKUP(TEXT(A33, "mmm-yy"), TEXT([2]GASOLINE!$B$5:$B$208, "mmm-yy"), [2]GASOLINE!$IK$5:$IK$208, "Not Found")</f>
        <v>323.74339898225111</v>
      </c>
      <c r="K33">
        <f t="shared" ca="1" si="0"/>
        <v>1</v>
      </c>
      <c r="L33" cm="1">
        <f t="array" aca="1" ref="L33" ca="1">_xlfn.XLOOKUP(TEXT(A33, "mmm-yy"), TEXT([2]GASOLINE!$B$5:$B$208, "mmm-yy"), [2]GASOLINE!$C$5:$C$208, "Not Found")</f>
        <v>8106.1435859194589</v>
      </c>
      <c r="M33" cm="1">
        <f t="array" aca="1" ref="M33" ca="1">_xlfn.XLOOKUP(TEXT(A33, "mmm-yy"), TEXT([2]RUNS!$B$5:$B$208, "mmm-yy"), [2]RUNS!$BM$5:$BM$208, "Not Found")</f>
        <v>0.84244719018728476</v>
      </c>
    </row>
    <row r="34" spans="1:13" x14ac:dyDescent="0.25">
      <c r="A34" s="1">
        <f t="shared" ca="1" si="1"/>
        <v>45881</v>
      </c>
      <c r="B34" cm="1">
        <f t="array" aca="1" ref="B34" ca="1">_xlfn.XLOOKUP(TEXT(A34, "mmm-yy"), TEXT([1]Monthly!$C:$C, "mmm-yy"), [1]Monthly!$O:$O, "Not Found")</f>
        <v>68.079846847226648</v>
      </c>
      <c r="C34" cm="1">
        <f t="array" aca="1" ref="C34" ca="1">_xlfn.XLOOKUP(TEXT(A34, "mmm-yy"), TEXT([1]Monthly!$C:$C, "mmm-yy"), [1]Monthly!$P:$P, "Not Found")</f>
        <v>67.38393020441211</v>
      </c>
      <c r="D34" cm="1">
        <f t="array" aca="1" ref="D34" ca="1">_xlfn.XLOOKUP(TEXT(A34, "mmm-yy"), TEXT([1]Monthly!$C:$C, "mmm-yy"), [1]Monthly!$R:$R, "Not Found")</f>
        <v>61.744909205123847</v>
      </c>
      <c r="E34" cm="1">
        <f t="array" aca="1" ref="E34" ca="1">_xlfn.XLOOKUP(TEXT(A34, "mmm-yy"), TEXT([1]Monthly!$C:$C, "mmm-yy"), [1]Monthly!$S:$S, "Not Found")</f>
        <v>77.25984684722664</v>
      </c>
      <c r="F34" cm="1">
        <f t="array" aca="1" ref="F34" ca="1">_xlfn.XLOOKUP(TEXT(A34, "mmm-yy"), TEXT([2]RUNS!$B$5:$B$208, "mmm-yy"), [2]RUNS!$D$5:$D$208, "Not Found")</f>
        <v>30977.541385657638</v>
      </c>
      <c r="G34">
        <f>AVERAGE([3]Sheet1!$H2256,[3]Sheet1!$H2518)</f>
        <v>14123.775</v>
      </c>
      <c r="H34">
        <f>AVERAGE([3]Sheet1!$I2256,[3]Sheet1!$I2518)</f>
        <v>2.4550000000000054</v>
      </c>
      <c r="I34" cm="1">
        <f t="array" aca="1" ref="I34" ca="1">_xlfn.XLOOKUP(TEXT(A34, "mmm-yy"), TEXT([2]GASOLINE!$B$5:$B$208, "mmm-yy"), [2]GASOLINE!$IR$5:$IR$208, "Not Found")</f>
        <v>-367.20817076565578</v>
      </c>
      <c r="J34" cm="1">
        <f t="array" aca="1" ref="J34" ca="1">_xlfn.XLOOKUP(TEXT(A34, "mmm-yy"), TEXT([2]GASOLINE!$B$5:$B$208, "mmm-yy"), [2]GASOLINE!$IK$5:$IK$208, "Not Found")</f>
        <v>323.74339898225111</v>
      </c>
      <c r="K34">
        <f t="shared" ca="1" si="0"/>
        <v>1</v>
      </c>
      <c r="L34" cm="1">
        <f t="array" aca="1" ref="L34" ca="1">_xlfn.XLOOKUP(TEXT(A34, "mmm-yy"), TEXT([2]GASOLINE!$B$5:$B$208, "mmm-yy"), [2]GASOLINE!$C$5:$C$208, "Not Found")</f>
        <v>8106.1435859194589</v>
      </c>
      <c r="M34" cm="1">
        <f t="array" aca="1" ref="M34" ca="1">_xlfn.XLOOKUP(TEXT(A34, "mmm-yy"), TEXT([2]RUNS!$B$5:$B$208, "mmm-yy"), [2]RUNS!$BM$5:$BM$208, "Not Found")</f>
        <v>0.84244719018728476</v>
      </c>
    </row>
    <row r="35" spans="1:13" x14ac:dyDescent="0.25">
      <c r="A35" s="1">
        <f t="shared" ca="1" si="1"/>
        <v>45882</v>
      </c>
      <c r="B35" cm="1">
        <f t="array" aca="1" ref="B35" ca="1">_xlfn.XLOOKUP(TEXT(A35, "mmm-yy"), TEXT([1]Monthly!$C:$C, "mmm-yy"), [1]Monthly!$O:$O, "Not Found")</f>
        <v>68.079846847226648</v>
      </c>
      <c r="C35" cm="1">
        <f t="array" aca="1" ref="C35" ca="1">_xlfn.XLOOKUP(TEXT(A35, "mmm-yy"), TEXT([1]Monthly!$C:$C, "mmm-yy"), [1]Monthly!$P:$P, "Not Found")</f>
        <v>67.38393020441211</v>
      </c>
      <c r="D35" cm="1">
        <f t="array" aca="1" ref="D35" ca="1">_xlfn.XLOOKUP(TEXT(A35, "mmm-yy"), TEXT([1]Monthly!$C:$C, "mmm-yy"), [1]Monthly!$R:$R, "Not Found")</f>
        <v>61.744909205123847</v>
      </c>
      <c r="E35" cm="1">
        <f t="array" aca="1" ref="E35" ca="1">_xlfn.XLOOKUP(TEXT(A35, "mmm-yy"), TEXT([1]Monthly!$C:$C, "mmm-yy"), [1]Monthly!$S:$S, "Not Found")</f>
        <v>77.25984684722664</v>
      </c>
      <c r="F35" cm="1">
        <f t="array" aca="1" ref="F35" ca="1">_xlfn.XLOOKUP(TEXT(A35, "mmm-yy"), TEXT([2]RUNS!$B$5:$B$208, "mmm-yy"), [2]RUNS!$D$5:$D$208, "Not Found")</f>
        <v>30977.541385657638</v>
      </c>
      <c r="G35">
        <f>AVERAGE([3]Sheet1!$H2257,[3]Sheet1!$H2519)</f>
        <v>14123.775</v>
      </c>
      <c r="H35">
        <f>AVERAGE([3]Sheet1!$I2257,[3]Sheet1!$I2519)</f>
        <v>2.6400000000000077</v>
      </c>
      <c r="I35" cm="1">
        <f t="array" aca="1" ref="I35" ca="1">_xlfn.XLOOKUP(TEXT(A35, "mmm-yy"), TEXT([2]GASOLINE!$B$5:$B$208, "mmm-yy"), [2]GASOLINE!$IR$5:$IR$208, "Not Found")</f>
        <v>-367.20817076565578</v>
      </c>
      <c r="J35" cm="1">
        <f t="array" aca="1" ref="J35" ca="1">_xlfn.XLOOKUP(TEXT(A35, "mmm-yy"), TEXT([2]GASOLINE!$B$5:$B$208, "mmm-yy"), [2]GASOLINE!$IK$5:$IK$208, "Not Found")</f>
        <v>323.74339898225111</v>
      </c>
      <c r="K35">
        <f t="shared" ca="1" si="0"/>
        <v>1</v>
      </c>
      <c r="L35" cm="1">
        <f t="array" aca="1" ref="L35" ca="1">_xlfn.XLOOKUP(TEXT(A35, "mmm-yy"), TEXT([2]GASOLINE!$B$5:$B$208, "mmm-yy"), [2]GASOLINE!$C$5:$C$208, "Not Found")</f>
        <v>8106.1435859194589</v>
      </c>
      <c r="M35" cm="1">
        <f t="array" aca="1" ref="M35" ca="1">_xlfn.XLOOKUP(TEXT(A35, "mmm-yy"), TEXT([2]RUNS!$B$5:$B$208, "mmm-yy"), [2]RUNS!$BM$5:$BM$208, "Not Found")</f>
        <v>0.84244719018728476</v>
      </c>
    </row>
    <row r="36" spans="1:13" x14ac:dyDescent="0.25">
      <c r="A36" s="1">
        <f t="shared" ca="1" si="1"/>
        <v>45883</v>
      </c>
      <c r="B36" cm="1">
        <f t="array" aca="1" ref="B36" ca="1">_xlfn.XLOOKUP(TEXT(A36, "mmm-yy"), TEXT([1]Monthly!$C:$C, "mmm-yy"), [1]Monthly!$O:$O, "Not Found")</f>
        <v>68.079846847226648</v>
      </c>
      <c r="C36" cm="1">
        <f t="array" aca="1" ref="C36" ca="1">_xlfn.XLOOKUP(TEXT(A36, "mmm-yy"), TEXT([1]Monthly!$C:$C, "mmm-yy"), [1]Monthly!$P:$P, "Not Found")</f>
        <v>67.38393020441211</v>
      </c>
      <c r="D36" cm="1">
        <f t="array" aca="1" ref="D36" ca="1">_xlfn.XLOOKUP(TEXT(A36, "mmm-yy"), TEXT([1]Monthly!$C:$C, "mmm-yy"), [1]Monthly!$R:$R, "Not Found")</f>
        <v>61.744909205123847</v>
      </c>
      <c r="E36" cm="1">
        <f t="array" aca="1" ref="E36" ca="1">_xlfn.XLOOKUP(TEXT(A36, "mmm-yy"), TEXT([1]Monthly!$C:$C, "mmm-yy"), [1]Monthly!$S:$S, "Not Found")</f>
        <v>77.25984684722664</v>
      </c>
      <c r="F36" cm="1">
        <f t="array" aca="1" ref="F36" ca="1">_xlfn.XLOOKUP(TEXT(A36, "mmm-yy"), TEXT([2]RUNS!$B$5:$B$208, "mmm-yy"), [2]RUNS!$D$5:$D$208, "Not Found")</f>
        <v>30977.541385657638</v>
      </c>
      <c r="G36">
        <f>AVERAGE([3]Sheet1!$H2258,[3]Sheet1!$H2520)</f>
        <v>14123.775</v>
      </c>
      <c r="H36">
        <f>AVERAGE([3]Sheet1!$I2258,[3]Sheet1!$I2520)</f>
        <v>2.6600000000000037</v>
      </c>
      <c r="I36" cm="1">
        <f t="array" aca="1" ref="I36" ca="1">_xlfn.XLOOKUP(TEXT(A36, "mmm-yy"), TEXT([2]GASOLINE!$B$5:$B$208, "mmm-yy"), [2]GASOLINE!$IR$5:$IR$208, "Not Found")</f>
        <v>-367.20817076565578</v>
      </c>
      <c r="J36" cm="1">
        <f t="array" aca="1" ref="J36" ca="1">_xlfn.XLOOKUP(TEXT(A36, "mmm-yy"), TEXT([2]GASOLINE!$B$5:$B$208, "mmm-yy"), [2]GASOLINE!$IK$5:$IK$208, "Not Found")</f>
        <v>323.74339898225111</v>
      </c>
      <c r="K36">
        <f t="shared" ca="1" si="0"/>
        <v>1</v>
      </c>
      <c r="L36" cm="1">
        <f t="array" aca="1" ref="L36" ca="1">_xlfn.XLOOKUP(TEXT(A36, "mmm-yy"), TEXT([2]GASOLINE!$B$5:$B$208, "mmm-yy"), [2]GASOLINE!$C$5:$C$208, "Not Found")</f>
        <v>8106.1435859194589</v>
      </c>
      <c r="M36" cm="1">
        <f t="array" aca="1" ref="M36" ca="1">_xlfn.XLOOKUP(TEXT(A36, "mmm-yy"), TEXT([2]RUNS!$B$5:$B$208, "mmm-yy"), [2]RUNS!$BM$5:$BM$208, "Not Found")</f>
        <v>0.84244719018728476</v>
      </c>
    </row>
    <row r="37" spans="1:13" x14ac:dyDescent="0.25">
      <c r="A37" s="1">
        <f t="shared" ca="1" si="1"/>
        <v>45884</v>
      </c>
      <c r="B37" cm="1">
        <f t="array" aca="1" ref="B37" ca="1">_xlfn.XLOOKUP(TEXT(A37, "mmm-yy"), TEXT([1]Monthly!$C:$C, "mmm-yy"), [1]Monthly!$O:$O, "Not Found")</f>
        <v>68.079846847226648</v>
      </c>
      <c r="C37" cm="1">
        <f t="array" aca="1" ref="C37" ca="1">_xlfn.XLOOKUP(TEXT(A37, "mmm-yy"), TEXT([1]Monthly!$C:$C, "mmm-yy"), [1]Monthly!$P:$P, "Not Found")</f>
        <v>67.38393020441211</v>
      </c>
      <c r="D37" cm="1">
        <f t="array" aca="1" ref="D37" ca="1">_xlfn.XLOOKUP(TEXT(A37, "mmm-yy"), TEXT([1]Monthly!$C:$C, "mmm-yy"), [1]Monthly!$R:$R, "Not Found")</f>
        <v>61.744909205123847</v>
      </c>
      <c r="E37" cm="1">
        <f t="array" aca="1" ref="E37" ca="1">_xlfn.XLOOKUP(TEXT(A37, "mmm-yy"), TEXT([1]Monthly!$C:$C, "mmm-yy"), [1]Monthly!$S:$S, "Not Found")</f>
        <v>77.25984684722664</v>
      </c>
      <c r="F37" cm="1">
        <f t="array" aca="1" ref="F37" ca="1">_xlfn.XLOOKUP(TEXT(A37, "mmm-yy"), TEXT([2]RUNS!$B$5:$B$208, "mmm-yy"), [2]RUNS!$D$5:$D$208, "Not Found")</f>
        <v>30977.541385657638</v>
      </c>
      <c r="G37">
        <f>AVERAGE([3]Sheet1!$H2259,[3]Sheet1!$H2521)</f>
        <v>14123.775</v>
      </c>
      <c r="H37">
        <f>AVERAGE([3]Sheet1!$I2259,[3]Sheet1!$I2521)</f>
        <v>2.5050000000000026</v>
      </c>
      <c r="I37" cm="1">
        <f t="array" aca="1" ref="I37" ca="1">_xlfn.XLOOKUP(TEXT(A37, "mmm-yy"), TEXT([2]GASOLINE!$B$5:$B$208, "mmm-yy"), [2]GASOLINE!$IR$5:$IR$208, "Not Found")</f>
        <v>-367.20817076565578</v>
      </c>
      <c r="J37" cm="1">
        <f t="array" aca="1" ref="J37" ca="1">_xlfn.XLOOKUP(TEXT(A37, "mmm-yy"), TEXT([2]GASOLINE!$B$5:$B$208, "mmm-yy"), [2]GASOLINE!$IK$5:$IK$208, "Not Found")</f>
        <v>323.74339898225111</v>
      </c>
      <c r="K37">
        <f t="shared" ca="1" si="0"/>
        <v>1</v>
      </c>
      <c r="L37" cm="1">
        <f t="array" aca="1" ref="L37" ca="1">_xlfn.XLOOKUP(TEXT(A37, "mmm-yy"), TEXT([2]GASOLINE!$B$5:$B$208, "mmm-yy"), [2]GASOLINE!$C$5:$C$208, "Not Found")</f>
        <v>8106.1435859194589</v>
      </c>
      <c r="M37" cm="1">
        <f t="array" aca="1" ref="M37" ca="1">_xlfn.XLOOKUP(TEXT(A37, "mmm-yy"), TEXT([2]RUNS!$B$5:$B$208, "mmm-yy"), [2]RUNS!$BM$5:$BM$208, "Not Found")</f>
        <v>0.84244719018728476</v>
      </c>
    </row>
    <row r="38" spans="1:13" x14ac:dyDescent="0.25">
      <c r="A38" s="1">
        <f t="shared" ca="1" si="1"/>
        <v>45885</v>
      </c>
      <c r="B38" cm="1">
        <f t="array" aca="1" ref="B38" ca="1">_xlfn.XLOOKUP(TEXT(A38, "mmm-yy"), TEXT([1]Monthly!$C:$C, "mmm-yy"), [1]Monthly!$O:$O, "Not Found")</f>
        <v>68.079846847226648</v>
      </c>
      <c r="C38" cm="1">
        <f t="array" aca="1" ref="C38" ca="1">_xlfn.XLOOKUP(TEXT(A38, "mmm-yy"), TEXT([1]Monthly!$C:$C, "mmm-yy"), [1]Monthly!$P:$P, "Not Found")</f>
        <v>67.38393020441211</v>
      </c>
      <c r="D38" cm="1">
        <f t="array" aca="1" ref="D38" ca="1">_xlfn.XLOOKUP(TEXT(A38, "mmm-yy"), TEXT([1]Monthly!$C:$C, "mmm-yy"), [1]Monthly!$R:$R, "Not Found")</f>
        <v>61.744909205123847</v>
      </c>
      <c r="E38" cm="1">
        <f t="array" aca="1" ref="E38" ca="1">_xlfn.XLOOKUP(TEXT(A38, "mmm-yy"), TEXT([1]Monthly!$C:$C, "mmm-yy"), [1]Monthly!$S:$S, "Not Found")</f>
        <v>77.25984684722664</v>
      </c>
      <c r="F38" cm="1">
        <f t="array" aca="1" ref="F38" ca="1">_xlfn.XLOOKUP(TEXT(A38, "mmm-yy"), TEXT([2]RUNS!$B$5:$B$208, "mmm-yy"), [2]RUNS!$D$5:$D$208, "Not Found")</f>
        <v>30977.541385657638</v>
      </c>
      <c r="G38">
        <f>AVERAGE([3]Sheet1!$H2260,[3]Sheet1!$H2522)</f>
        <v>14123.775</v>
      </c>
      <c r="H38">
        <f>AVERAGE([3]Sheet1!$I2260,[3]Sheet1!$I2522)</f>
        <v>2.3149999999999977</v>
      </c>
      <c r="I38" cm="1">
        <f t="array" aca="1" ref="I38" ca="1">_xlfn.XLOOKUP(TEXT(A38, "mmm-yy"), TEXT([2]GASOLINE!$B$5:$B$208, "mmm-yy"), [2]GASOLINE!$IR$5:$IR$208, "Not Found")</f>
        <v>-367.20817076565578</v>
      </c>
      <c r="J38" cm="1">
        <f t="array" aca="1" ref="J38" ca="1">_xlfn.XLOOKUP(TEXT(A38, "mmm-yy"), TEXT([2]GASOLINE!$B$5:$B$208, "mmm-yy"), [2]GASOLINE!$IK$5:$IK$208, "Not Found")</f>
        <v>323.74339898225111</v>
      </c>
      <c r="K38">
        <f t="shared" ca="1" si="0"/>
        <v>1</v>
      </c>
      <c r="L38" cm="1">
        <f t="array" aca="1" ref="L38" ca="1">_xlfn.XLOOKUP(TEXT(A38, "mmm-yy"), TEXT([2]GASOLINE!$B$5:$B$208, "mmm-yy"), [2]GASOLINE!$C$5:$C$208, "Not Found")</f>
        <v>8106.1435859194589</v>
      </c>
      <c r="M38" cm="1">
        <f t="array" aca="1" ref="M38" ca="1">_xlfn.XLOOKUP(TEXT(A38, "mmm-yy"), TEXT([2]RUNS!$B$5:$B$208, "mmm-yy"), [2]RUNS!$BM$5:$BM$208, "Not Found")</f>
        <v>0.84244719018728476</v>
      </c>
    </row>
    <row r="39" spans="1:13" x14ac:dyDescent="0.25">
      <c r="A39" s="1">
        <f t="shared" ca="1" si="1"/>
        <v>45886</v>
      </c>
      <c r="B39" cm="1">
        <f t="array" aca="1" ref="B39" ca="1">_xlfn.XLOOKUP(TEXT(A39, "mmm-yy"), TEXT([1]Monthly!$C:$C, "mmm-yy"), [1]Monthly!$O:$O, "Not Found")</f>
        <v>68.079846847226648</v>
      </c>
      <c r="C39" cm="1">
        <f t="array" aca="1" ref="C39" ca="1">_xlfn.XLOOKUP(TEXT(A39, "mmm-yy"), TEXT([1]Monthly!$C:$C, "mmm-yy"), [1]Monthly!$P:$P, "Not Found")</f>
        <v>67.38393020441211</v>
      </c>
      <c r="D39" cm="1">
        <f t="array" aca="1" ref="D39" ca="1">_xlfn.XLOOKUP(TEXT(A39, "mmm-yy"), TEXT([1]Monthly!$C:$C, "mmm-yy"), [1]Monthly!$R:$R, "Not Found")</f>
        <v>61.744909205123847</v>
      </c>
      <c r="E39" cm="1">
        <f t="array" aca="1" ref="E39" ca="1">_xlfn.XLOOKUP(TEXT(A39, "mmm-yy"), TEXT([1]Monthly!$C:$C, "mmm-yy"), [1]Monthly!$S:$S, "Not Found")</f>
        <v>77.25984684722664</v>
      </c>
      <c r="F39" cm="1">
        <f t="array" aca="1" ref="F39" ca="1">_xlfn.XLOOKUP(TEXT(A39, "mmm-yy"), TEXT([2]RUNS!$B$5:$B$208, "mmm-yy"), [2]RUNS!$D$5:$D$208, "Not Found")</f>
        <v>30977.541385657638</v>
      </c>
      <c r="G39">
        <f>AVERAGE([3]Sheet1!$H2261,[3]Sheet1!$H2523)</f>
        <v>14123.775</v>
      </c>
      <c r="H39">
        <f>AVERAGE([3]Sheet1!$I2261,[3]Sheet1!$I2523)</f>
        <v>2.1850000000000023</v>
      </c>
      <c r="I39" cm="1">
        <f t="array" aca="1" ref="I39" ca="1">_xlfn.XLOOKUP(TEXT(A39, "mmm-yy"), TEXT([2]GASOLINE!$B$5:$B$208, "mmm-yy"), [2]GASOLINE!$IR$5:$IR$208, "Not Found")</f>
        <v>-367.20817076565578</v>
      </c>
      <c r="J39" cm="1">
        <f t="array" aca="1" ref="J39" ca="1">_xlfn.XLOOKUP(TEXT(A39, "mmm-yy"), TEXT([2]GASOLINE!$B$5:$B$208, "mmm-yy"), [2]GASOLINE!$IK$5:$IK$208, "Not Found")</f>
        <v>323.74339898225111</v>
      </c>
      <c r="K39">
        <f t="shared" ca="1" si="0"/>
        <v>1</v>
      </c>
      <c r="L39" cm="1">
        <f t="array" aca="1" ref="L39" ca="1">_xlfn.XLOOKUP(TEXT(A39, "mmm-yy"), TEXT([2]GASOLINE!$B$5:$B$208, "mmm-yy"), [2]GASOLINE!$C$5:$C$208, "Not Found")</f>
        <v>8106.1435859194589</v>
      </c>
      <c r="M39" cm="1">
        <f t="array" aca="1" ref="M39" ca="1">_xlfn.XLOOKUP(TEXT(A39, "mmm-yy"), TEXT([2]RUNS!$B$5:$B$208, "mmm-yy"), [2]RUNS!$BM$5:$BM$208, "Not Found")</f>
        <v>0.84244719018728476</v>
      </c>
    </row>
    <row r="40" spans="1:13" x14ac:dyDescent="0.25">
      <c r="A40" s="1">
        <f t="shared" ca="1" si="1"/>
        <v>45887</v>
      </c>
      <c r="B40" cm="1">
        <f t="array" aca="1" ref="B40" ca="1">_xlfn.XLOOKUP(TEXT(A40, "mmm-yy"), TEXT([1]Monthly!$C:$C, "mmm-yy"), [1]Monthly!$O:$O, "Not Found")</f>
        <v>68.079846847226648</v>
      </c>
      <c r="C40" cm="1">
        <f t="array" aca="1" ref="C40" ca="1">_xlfn.XLOOKUP(TEXT(A40, "mmm-yy"), TEXT([1]Monthly!$C:$C, "mmm-yy"), [1]Monthly!$P:$P, "Not Found")</f>
        <v>67.38393020441211</v>
      </c>
      <c r="D40" cm="1">
        <f t="array" aca="1" ref="D40" ca="1">_xlfn.XLOOKUP(TEXT(A40, "mmm-yy"), TEXT([1]Monthly!$C:$C, "mmm-yy"), [1]Monthly!$R:$R, "Not Found")</f>
        <v>61.744909205123847</v>
      </c>
      <c r="E40" cm="1">
        <f t="array" aca="1" ref="E40" ca="1">_xlfn.XLOOKUP(TEXT(A40, "mmm-yy"), TEXT([1]Monthly!$C:$C, "mmm-yy"), [1]Monthly!$S:$S, "Not Found")</f>
        <v>77.25984684722664</v>
      </c>
      <c r="F40" cm="1">
        <f t="array" aca="1" ref="F40" ca="1">_xlfn.XLOOKUP(TEXT(A40, "mmm-yy"), TEXT([2]RUNS!$B$5:$B$208, "mmm-yy"), [2]RUNS!$D$5:$D$208, "Not Found")</f>
        <v>30977.541385657638</v>
      </c>
      <c r="G40">
        <f>AVERAGE([3]Sheet1!$H2262,[3]Sheet1!$H2524)</f>
        <v>13831</v>
      </c>
      <c r="H40">
        <f>AVERAGE([3]Sheet1!$I2262,[3]Sheet1!$I2524)</f>
        <v>2.0449999999999946</v>
      </c>
      <c r="I40" cm="1">
        <f t="array" aca="1" ref="I40" ca="1">_xlfn.XLOOKUP(TEXT(A40, "mmm-yy"), TEXT([2]GASOLINE!$B$5:$B$208, "mmm-yy"), [2]GASOLINE!$IR$5:$IR$208, "Not Found")</f>
        <v>-367.20817076565578</v>
      </c>
      <c r="J40" cm="1">
        <f t="array" aca="1" ref="J40" ca="1">_xlfn.XLOOKUP(TEXT(A40, "mmm-yy"), TEXT([2]GASOLINE!$B$5:$B$208, "mmm-yy"), [2]GASOLINE!$IK$5:$IK$208, "Not Found")</f>
        <v>323.74339898225111</v>
      </c>
      <c r="K40">
        <f t="shared" ca="1" si="0"/>
        <v>1</v>
      </c>
      <c r="L40" cm="1">
        <f t="array" aca="1" ref="L40" ca="1">_xlfn.XLOOKUP(TEXT(A40, "mmm-yy"), TEXT([2]GASOLINE!$B$5:$B$208, "mmm-yy"), [2]GASOLINE!$C$5:$C$208, "Not Found")</f>
        <v>8106.1435859194589</v>
      </c>
      <c r="M40" cm="1">
        <f t="array" aca="1" ref="M40" ca="1">_xlfn.XLOOKUP(TEXT(A40, "mmm-yy"), TEXT([2]RUNS!$B$5:$B$208, "mmm-yy"), [2]RUNS!$BM$5:$BM$208, "Not Found")</f>
        <v>0.84244719018728476</v>
      </c>
    </row>
    <row r="41" spans="1:13" x14ac:dyDescent="0.25">
      <c r="A41" s="1">
        <f t="shared" ca="1" si="1"/>
        <v>45888</v>
      </c>
      <c r="B41" cm="1">
        <f t="array" aca="1" ref="B41" ca="1">_xlfn.XLOOKUP(TEXT(A41, "mmm-yy"), TEXT([1]Monthly!$C:$C, "mmm-yy"), [1]Monthly!$O:$O, "Not Found")</f>
        <v>68.079846847226648</v>
      </c>
      <c r="C41" cm="1">
        <f t="array" aca="1" ref="C41" ca="1">_xlfn.XLOOKUP(TEXT(A41, "mmm-yy"), TEXT([1]Monthly!$C:$C, "mmm-yy"), [1]Monthly!$P:$P, "Not Found")</f>
        <v>67.38393020441211</v>
      </c>
      <c r="D41" cm="1">
        <f t="array" aca="1" ref="D41" ca="1">_xlfn.XLOOKUP(TEXT(A41, "mmm-yy"), TEXT([1]Monthly!$C:$C, "mmm-yy"), [1]Monthly!$R:$R, "Not Found")</f>
        <v>61.744909205123847</v>
      </c>
      <c r="E41" cm="1">
        <f t="array" aca="1" ref="E41" ca="1">_xlfn.XLOOKUP(TEXT(A41, "mmm-yy"), TEXT([1]Monthly!$C:$C, "mmm-yy"), [1]Monthly!$S:$S, "Not Found")</f>
        <v>77.25984684722664</v>
      </c>
      <c r="F41" cm="1">
        <f t="array" aca="1" ref="F41" ca="1">_xlfn.XLOOKUP(TEXT(A41, "mmm-yy"), TEXT([2]RUNS!$B$5:$B$208, "mmm-yy"), [2]RUNS!$D$5:$D$208, "Not Found")</f>
        <v>30977.541385657638</v>
      </c>
      <c r="G41">
        <f>AVERAGE([3]Sheet1!$H2263,[3]Sheet1!$H2525)</f>
        <v>13881.625</v>
      </c>
      <c r="H41">
        <f>AVERAGE([3]Sheet1!$I2263,[3]Sheet1!$I2525)</f>
        <v>1.75</v>
      </c>
      <c r="I41" cm="1">
        <f t="array" aca="1" ref="I41" ca="1">_xlfn.XLOOKUP(TEXT(A41, "mmm-yy"), TEXT([2]GASOLINE!$B$5:$B$208, "mmm-yy"), [2]GASOLINE!$IR$5:$IR$208, "Not Found")</f>
        <v>-367.20817076565578</v>
      </c>
      <c r="J41" cm="1">
        <f t="array" aca="1" ref="J41" ca="1">_xlfn.XLOOKUP(TEXT(A41, "mmm-yy"), TEXT([2]GASOLINE!$B$5:$B$208, "mmm-yy"), [2]GASOLINE!$IK$5:$IK$208, "Not Found")</f>
        <v>323.74339898225111</v>
      </c>
      <c r="K41">
        <f t="shared" ca="1" si="0"/>
        <v>1</v>
      </c>
      <c r="L41" cm="1">
        <f t="array" aca="1" ref="L41" ca="1">_xlfn.XLOOKUP(TEXT(A41, "mmm-yy"), TEXT([2]GASOLINE!$B$5:$B$208, "mmm-yy"), [2]GASOLINE!$C$5:$C$208, "Not Found")</f>
        <v>8106.1435859194589</v>
      </c>
      <c r="M41" cm="1">
        <f t="array" aca="1" ref="M41" ca="1">_xlfn.XLOOKUP(TEXT(A41, "mmm-yy"), TEXT([2]RUNS!$B$5:$B$208, "mmm-yy"), [2]RUNS!$BM$5:$BM$208, "Not Found")</f>
        <v>0.84244719018728476</v>
      </c>
    </row>
    <row r="42" spans="1:13" x14ac:dyDescent="0.25">
      <c r="A42" s="1">
        <f t="shared" ca="1" si="1"/>
        <v>45889</v>
      </c>
      <c r="B42" cm="1">
        <f t="array" aca="1" ref="B42" ca="1">_xlfn.XLOOKUP(TEXT(A42, "mmm-yy"), TEXT([1]Monthly!$C:$C, "mmm-yy"), [1]Monthly!$O:$O, "Not Found")</f>
        <v>68.079846847226648</v>
      </c>
      <c r="C42" cm="1">
        <f t="array" aca="1" ref="C42" ca="1">_xlfn.XLOOKUP(TEXT(A42, "mmm-yy"), TEXT([1]Monthly!$C:$C, "mmm-yy"), [1]Monthly!$P:$P, "Not Found")</f>
        <v>67.38393020441211</v>
      </c>
      <c r="D42" cm="1">
        <f t="array" aca="1" ref="D42" ca="1">_xlfn.XLOOKUP(TEXT(A42, "mmm-yy"), TEXT([1]Monthly!$C:$C, "mmm-yy"), [1]Monthly!$R:$R, "Not Found")</f>
        <v>61.744909205123847</v>
      </c>
      <c r="E42" cm="1">
        <f t="array" aca="1" ref="E42" ca="1">_xlfn.XLOOKUP(TEXT(A42, "mmm-yy"), TEXT([1]Monthly!$C:$C, "mmm-yy"), [1]Monthly!$S:$S, "Not Found")</f>
        <v>77.25984684722664</v>
      </c>
      <c r="F42" cm="1">
        <f t="array" aca="1" ref="F42" ca="1">_xlfn.XLOOKUP(TEXT(A42, "mmm-yy"), TEXT([2]RUNS!$B$5:$B$208, "mmm-yy"), [2]RUNS!$D$5:$D$208, "Not Found")</f>
        <v>30977.541385657638</v>
      </c>
      <c r="G42">
        <f>AVERAGE([3]Sheet1!$H2264,[3]Sheet1!$H2526)</f>
        <v>13881.625</v>
      </c>
      <c r="H42">
        <f>AVERAGE([3]Sheet1!$I2264,[3]Sheet1!$I2526)</f>
        <v>1.5500000000000043</v>
      </c>
      <c r="I42" cm="1">
        <f t="array" aca="1" ref="I42" ca="1">_xlfn.XLOOKUP(TEXT(A42, "mmm-yy"), TEXT([2]GASOLINE!$B$5:$B$208, "mmm-yy"), [2]GASOLINE!$IR$5:$IR$208, "Not Found")</f>
        <v>-367.20817076565578</v>
      </c>
      <c r="J42" cm="1">
        <f t="array" aca="1" ref="J42" ca="1">_xlfn.XLOOKUP(TEXT(A42, "mmm-yy"), TEXT([2]GASOLINE!$B$5:$B$208, "mmm-yy"), [2]GASOLINE!$IK$5:$IK$208, "Not Found")</f>
        <v>323.74339898225111</v>
      </c>
      <c r="K42">
        <f t="shared" ca="1" si="0"/>
        <v>1</v>
      </c>
      <c r="L42" cm="1">
        <f t="array" aca="1" ref="L42" ca="1">_xlfn.XLOOKUP(TEXT(A42, "mmm-yy"), TEXT([2]GASOLINE!$B$5:$B$208, "mmm-yy"), [2]GASOLINE!$C$5:$C$208, "Not Found")</f>
        <v>8106.1435859194589</v>
      </c>
      <c r="M42" cm="1">
        <f t="array" aca="1" ref="M42" ca="1">_xlfn.XLOOKUP(TEXT(A42, "mmm-yy"), TEXT([2]RUNS!$B$5:$B$208, "mmm-yy"), [2]RUNS!$BM$5:$BM$208, "Not Found")</f>
        <v>0.84244719018728476</v>
      </c>
    </row>
    <row r="43" spans="1:13" x14ac:dyDescent="0.25">
      <c r="A43" s="1">
        <f t="shared" ca="1" si="1"/>
        <v>45890</v>
      </c>
      <c r="B43" cm="1">
        <f t="array" aca="1" ref="B43" ca="1">_xlfn.XLOOKUP(TEXT(A43, "mmm-yy"), TEXT([1]Monthly!$C:$C, "mmm-yy"), [1]Monthly!$O:$O, "Not Found")</f>
        <v>68.079846847226648</v>
      </c>
      <c r="C43" cm="1">
        <f t="array" aca="1" ref="C43" ca="1">_xlfn.XLOOKUP(TEXT(A43, "mmm-yy"), TEXT([1]Monthly!$C:$C, "mmm-yy"), [1]Monthly!$P:$P, "Not Found")</f>
        <v>67.38393020441211</v>
      </c>
      <c r="D43" cm="1">
        <f t="array" aca="1" ref="D43" ca="1">_xlfn.XLOOKUP(TEXT(A43, "mmm-yy"), TEXT([1]Monthly!$C:$C, "mmm-yy"), [1]Monthly!$R:$R, "Not Found")</f>
        <v>61.744909205123847</v>
      </c>
      <c r="E43" cm="1">
        <f t="array" aca="1" ref="E43" ca="1">_xlfn.XLOOKUP(TEXT(A43, "mmm-yy"), TEXT([1]Monthly!$C:$C, "mmm-yy"), [1]Monthly!$S:$S, "Not Found")</f>
        <v>77.25984684722664</v>
      </c>
      <c r="F43" cm="1">
        <f t="array" aca="1" ref="F43" ca="1">_xlfn.XLOOKUP(TEXT(A43, "mmm-yy"), TEXT([2]RUNS!$B$5:$B$208, "mmm-yy"), [2]RUNS!$D$5:$D$208, "Not Found")</f>
        <v>30977.541385657638</v>
      </c>
      <c r="G43">
        <f>AVERAGE([3]Sheet1!$H2265,[3]Sheet1!$H2527)</f>
        <v>13881.625</v>
      </c>
      <c r="H43">
        <f>AVERAGE([3]Sheet1!$I2265,[3]Sheet1!$I2527)</f>
        <v>1.4699999999999918</v>
      </c>
      <c r="I43" cm="1">
        <f t="array" aca="1" ref="I43" ca="1">_xlfn.XLOOKUP(TEXT(A43, "mmm-yy"), TEXT([2]GASOLINE!$B$5:$B$208, "mmm-yy"), [2]GASOLINE!$IR$5:$IR$208, "Not Found")</f>
        <v>-367.20817076565578</v>
      </c>
      <c r="J43" cm="1">
        <f t="array" aca="1" ref="J43" ca="1">_xlfn.XLOOKUP(TEXT(A43, "mmm-yy"), TEXT([2]GASOLINE!$B$5:$B$208, "mmm-yy"), [2]GASOLINE!$IK$5:$IK$208, "Not Found")</f>
        <v>323.74339898225111</v>
      </c>
      <c r="K43">
        <f t="shared" ca="1" si="0"/>
        <v>1</v>
      </c>
      <c r="L43" cm="1">
        <f t="array" aca="1" ref="L43" ca="1">_xlfn.XLOOKUP(TEXT(A43, "mmm-yy"), TEXT([2]GASOLINE!$B$5:$B$208, "mmm-yy"), [2]GASOLINE!$C$5:$C$208, "Not Found")</f>
        <v>8106.1435859194589</v>
      </c>
      <c r="M43" cm="1">
        <f t="array" aca="1" ref="M43" ca="1">_xlfn.XLOOKUP(TEXT(A43, "mmm-yy"), TEXT([2]RUNS!$B$5:$B$208, "mmm-yy"), [2]RUNS!$BM$5:$BM$208, "Not Found")</f>
        <v>0.84244719018728476</v>
      </c>
    </row>
    <row r="44" spans="1:13" x14ac:dyDescent="0.25">
      <c r="A44" s="1">
        <f t="shared" ca="1" si="1"/>
        <v>45891</v>
      </c>
      <c r="B44" cm="1">
        <f t="array" aca="1" ref="B44" ca="1">_xlfn.XLOOKUP(TEXT(A44, "mmm-yy"), TEXT([1]Monthly!$C:$C, "mmm-yy"), [1]Monthly!$O:$O, "Not Found")</f>
        <v>68.079846847226648</v>
      </c>
      <c r="C44" cm="1">
        <f t="array" aca="1" ref="C44" ca="1">_xlfn.XLOOKUP(TEXT(A44, "mmm-yy"), TEXT([1]Monthly!$C:$C, "mmm-yy"), [1]Monthly!$P:$P, "Not Found")</f>
        <v>67.38393020441211</v>
      </c>
      <c r="D44" cm="1">
        <f t="array" aca="1" ref="D44" ca="1">_xlfn.XLOOKUP(TEXT(A44, "mmm-yy"), TEXT([1]Monthly!$C:$C, "mmm-yy"), [1]Monthly!$R:$R, "Not Found")</f>
        <v>61.744909205123847</v>
      </c>
      <c r="E44" cm="1">
        <f t="array" aca="1" ref="E44" ca="1">_xlfn.XLOOKUP(TEXT(A44, "mmm-yy"), TEXT([1]Monthly!$C:$C, "mmm-yy"), [1]Monthly!$S:$S, "Not Found")</f>
        <v>77.25984684722664</v>
      </c>
      <c r="F44" cm="1">
        <f t="array" aca="1" ref="F44" ca="1">_xlfn.XLOOKUP(TEXT(A44, "mmm-yy"), TEXT([2]RUNS!$B$5:$B$208, "mmm-yy"), [2]RUNS!$D$5:$D$208, "Not Found")</f>
        <v>30977.541385657638</v>
      </c>
      <c r="G44">
        <f>AVERAGE([3]Sheet1!$H2266,[3]Sheet1!$H2528)</f>
        <v>13881.625</v>
      </c>
      <c r="H44">
        <f>AVERAGE([3]Sheet1!$I2266,[3]Sheet1!$I2528)</f>
        <v>1.4050000000000082</v>
      </c>
      <c r="I44" cm="1">
        <f t="array" aca="1" ref="I44" ca="1">_xlfn.XLOOKUP(TEXT(A44, "mmm-yy"), TEXT([2]GASOLINE!$B$5:$B$208, "mmm-yy"), [2]GASOLINE!$IR$5:$IR$208, "Not Found")</f>
        <v>-367.20817076565578</v>
      </c>
      <c r="J44" cm="1">
        <f t="array" aca="1" ref="J44" ca="1">_xlfn.XLOOKUP(TEXT(A44, "mmm-yy"), TEXT([2]GASOLINE!$B$5:$B$208, "mmm-yy"), [2]GASOLINE!$IK$5:$IK$208, "Not Found")</f>
        <v>323.74339898225111</v>
      </c>
      <c r="K44">
        <f t="shared" ca="1" si="0"/>
        <v>1</v>
      </c>
      <c r="L44" cm="1">
        <f t="array" aca="1" ref="L44" ca="1">_xlfn.XLOOKUP(TEXT(A44, "mmm-yy"), TEXT([2]GASOLINE!$B$5:$B$208, "mmm-yy"), [2]GASOLINE!$C$5:$C$208, "Not Found")</f>
        <v>8106.1435859194589</v>
      </c>
      <c r="M44" cm="1">
        <f t="array" aca="1" ref="M44" ca="1">_xlfn.XLOOKUP(TEXT(A44, "mmm-yy"), TEXT([2]RUNS!$B$5:$B$208, "mmm-yy"), [2]RUNS!$BM$5:$BM$208, "Not Found")</f>
        <v>0.84244719018728476</v>
      </c>
    </row>
    <row r="45" spans="1:13" x14ac:dyDescent="0.25">
      <c r="A45" s="1">
        <f t="shared" ca="1" si="1"/>
        <v>45892</v>
      </c>
      <c r="B45" cm="1">
        <f t="array" aca="1" ref="B45" ca="1">_xlfn.XLOOKUP(TEXT(A45, "mmm-yy"), TEXT([1]Monthly!$C:$C, "mmm-yy"), [1]Monthly!$O:$O, "Not Found")</f>
        <v>68.079846847226648</v>
      </c>
      <c r="C45" cm="1">
        <f t="array" aca="1" ref="C45" ca="1">_xlfn.XLOOKUP(TEXT(A45, "mmm-yy"), TEXT([1]Monthly!$C:$C, "mmm-yy"), [1]Monthly!$P:$P, "Not Found")</f>
        <v>67.38393020441211</v>
      </c>
      <c r="D45" cm="1">
        <f t="array" aca="1" ref="D45" ca="1">_xlfn.XLOOKUP(TEXT(A45, "mmm-yy"), TEXT([1]Monthly!$C:$C, "mmm-yy"), [1]Monthly!$R:$R, "Not Found")</f>
        <v>61.744909205123847</v>
      </c>
      <c r="E45" cm="1">
        <f t="array" aca="1" ref="E45" ca="1">_xlfn.XLOOKUP(TEXT(A45, "mmm-yy"), TEXT([1]Monthly!$C:$C, "mmm-yy"), [1]Monthly!$S:$S, "Not Found")</f>
        <v>77.25984684722664</v>
      </c>
      <c r="F45" cm="1">
        <f t="array" aca="1" ref="F45" ca="1">_xlfn.XLOOKUP(TEXT(A45, "mmm-yy"), TEXT([2]RUNS!$B$5:$B$208, "mmm-yy"), [2]RUNS!$D$5:$D$208, "Not Found")</f>
        <v>30977.541385657638</v>
      </c>
      <c r="G45">
        <f>AVERAGE([3]Sheet1!$H2267,[3]Sheet1!$H2529)</f>
        <v>13881.625</v>
      </c>
      <c r="H45">
        <f>AVERAGE([3]Sheet1!$I2267,[3]Sheet1!$I2529)</f>
        <v>1.519999999999996</v>
      </c>
      <c r="I45" cm="1">
        <f t="array" aca="1" ref="I45" ca="1">_xlfn.XLOOKUP(TEXT(A45, "mmm-yy"), TEXT([2]GASOLINE!$B$5:$B$208, "mmm-yy"), [2]GASOLINE!$IR$5:$IR$208, "Not Found")</f>
        <v>-367.20817076565578</v>
      </c>
      <c r="J45" cm="1">
        <f t="array" aca="1" ref="J45" ca="1">_xlfn.XLOOKUP(TEXT(A45, "mmm-yy"), TEXT([2]GASOLINE!$B$5:$B$208, "mmm-yy"), [2]GASOLINE!$IK$5:$IK$208, "Not Found")</f>
        <v>323.74339898225111</v>
      </c>
      <c r="K45">
        <f t="shared" ca="1" si="0"/>
        <v>1</v>
      </c>
      <c r="L45" cm="1">
        <f t="array" aca="1" ref="L45" ca="1">_xlfn.XLOOKUP(TEXT(A45, "mmm-yy"), TEXT([2]GASOLINE!$B$5:$B$208, "mmm-yy"), [2]GASOLINE!$C$5:$C$208, "Not Found")</f>
        <v>8106.1435859194589</v>
      </c>
      <c r="M45" cm="1">
        <f t="array" aca="1" ref="M45" ca="1">_xlfn.XLOOKUP(TEXT(A45, "mmm-yy"), TEXT([2]RUNS!$B$5:$B$208, "mmm-yy"), [2]RUNS!$BM$5:$BM$208, "Not Found")</f>
        <v>0.84244719018728476</v>
      </c>
    </row>
    <row r="46" spans="1:13" x14ac:dyDescent="0.25">
      <c r="A46" s="1">
        <f t="shared" ca="1" si="1"/>
        <v>45893</v>
      </c>
      <c r="B46" cm="1">
        <f t="array" aca="1" ref="B46" ca="1">_xlfn.XLOOKUP(TEXT(A46, "mmm-yy"), TEXT([1]Monthly!$C:$C, "mmm-yy"), [1]Monthly!$O:$O, "Not Found")</f>
        <v>68.079846847226648</v>
      </c>
      <c r="C46" cm="1">
        <f t="array" aca="1" ref="C46" ca="1">_xlfn.XLOOKUP(TEXT(A46, "mmm-yy"), TEXT([1]Monthly!$C:$C, "mmm-yy"), [1]Monthly!$P:$P, "Not Found")</f>
        <v>67.38393020441211</v>
      </c>
      <c r="D46" cm="1">
        <f t="array" aca="1" ref="D46" ca="1">_xlfn.XLOOKUP(TEXT(A46, "mmm-yy"), TEXT([1]Monthly!$C:$C, "mmm-yy"), [1]Monthly!$R:$R, "Not Found")</f>
        <v>61.744909205123847</v>
      </c>
      <c r="E46" cm="1">
        <f t="array" aca="1" ref="E46" ca="1">_xlfn.XLOOKUP(TEXT(A46, "mmm-yy"), TEXT([1]Monthly!$C:$C, "mmm-yy"), [1]Monthly!$S:$S, "Not Found")</f>
        <v>77.25984684722664</v>
      </c>
      <c r="F46" cm="1">
        <f t="array" aca="1" ref="F46" ca="1">_xlfn.XLOOKUP(TEXT(A46, "mmm-yy"), TEXT([2]RUNS!$B$5:$B$208, "mmm-yy"), [2]RUNS!$D$5:$D$208, "Not Found")</f>
        <v>30977.541385657638</v>
      </c>
      <c r="G46">
        <f>AVERAGE([3]Sheet1!$H2268,[3]Sheet1!$H2530)</f>
        <v>13881.625</v>
      </c>
      <c r="H46">
        <f>AVERAGE([3]Sheet1!$I2268,[3]Sheet1!$I2530)</f>
        <v>1.7550000000000026</v>
      </c>
      <c r="I46" cm="1">
        <f t="array" aca="1" ref="I46" ca="1">_xlfn.XLOOKUP(TEXT(A46, "mmm-yy"), TEXT([2]GASOLINE!$B$5:$B$208, "mmm-yy"), [2]GASOLINE!$IR$5:$IR$208, "Not Found")</f>
        <v>-367.20817076565578</v>
      </c>
      <c r="J46" cm="1">
        <f t="array" aca="1" ref="J46" ca="1">_xlfn.XLOOKUP(TEXT(A46, "mmm-yy"), TEXT([2]GASOLINE!$B$5:$B$208, "mmm-yy"), [2]GASOLINE!$IK$5:$IK$208, "Not Found")</f>
        <v>323.74339898225111</v>
      </c>
      <c r="K46">
        <f t="shared" ca="1" si="0"/>
        <v>1</v>
      </c>
      <c r="L46" cm="1">
        <f t="array" aca="1" ref="L46" ca="1">_xlfn.XLOOKUP(TEXT(A46, "mmm-yy"), TEXT([2]GASOLINE!$B$5:$B$208, "mmm-yy"), [2]GASOLINE!$C$5:$C$208, "Not Found")</f>
        <v>8106.1435859194589</v>
      </c>
      <c r="M46" cm="1">
        <f t="array" aca="1" ref="M46" ca="1">_xlfn.XLOOKUP(TEXT(A46, "mmm-yy"), TEXT([2]RUNS!$B$5:$B$208, "mmm-yy"), [2]RUNS!$BM$5:$BM$208, "Not Found")</f>
        <v>0.84244719018728476</v>
      </c>
    </row>
    <row r="47" spans="1:13" x14ac:dyDescent="0.25">
      <c r="A47" s="1">
        <f t="shared" ca="1" si="1"/>
        <v>45894</v>
      </c>
      <c r="B47" cm="1">
        <f t="array" aca="1" ref="B47" ca="1">_xlfn.XLOOKUP(TEXT(A47, "mmm-yy"), TEXT([1]Monthly!$C:$C, "mmm-yy"), [1]Monthly!$O:$O, "Not Found")</f>
        <v>68.079846847226648</v>
      </c>
      <c r="C47" cm="1">
        <f t="array" aca="1" ref="C47" ca="1">_xlfn.XLOOKUP(TEXT(A47, "mmm-yy"), TEXT([1]Monthly!$C:$C, "mmm-yy"), [1]Monthly!$P:$P, "Not Found")</f>
        <v>67.38393020441211</v>
      </c>
      <c r="D47" cm="1">
        <f t="array" aca="1" ref="D47" ca="1">_xlfn.XLOOKUP(TEXT(A47, "mmm-yy"), TEXT([1]Monthly!$C:$C, "mmm-yy"), [1]Monthly!$R:$R, "Not Found")</f>
        <v>61.744909205123847</v>
      </c>
      <c r="E47" cm="1">
        <f t="array" aca="1" ref="E47" ca="1">_xlfn.XLOOKUP(TEXT(A47, "mmm-yy"), TEXT([1]Monthly!$C:$C, "mmm-yy"), [1]Monthly!$S:$S, "Not Found")</f>
        <v>77.25984684722664</v>
      </c>
      <c r="F47" cm="1">
        <f t="array" aca="1" ref="F47" ca="1">_xlfn.XLOOKUP(TEXT(A47, "mmm-yy"), TEXT([2]RUNS!$B$5:$B$208, "mmm-yy"), [2]RUNS!$D$5:$D$208, "Not Found")</f>
        <v>30977.541385657638</v>
      </c>
      <c r="G47">
        <f>AVERAGE([3]Sheet1!$H2269,[3]Sheet1!$H2531)</f>
        <v>13881.625</v>
      </c>
      <c r="H47">
        <f>AVERAGE([3]Sheet1!$I2269,[3]Sheet1!$I2531)</f>
        <v>1.9200000000000017</v>
      </c>
      <c r="I47" cm="1">
        <f t="array" aca="1" ref="I47" ca="1">_xlfn.XLOOKUP(TEXT(A47, "mmm-yy"), TEXT([2]GASOLINE!$B$5:$B$208, "mmm-yy"), [2]GASOLINE!$IR$5:$IR$208, "Not Found")</f>
        <v>-367.20817076565578</v>
      </c>
      <c r="J47" cm="1">
        <f t="array" aca="1" ref="J47" ca="1">_xlfn.XLOOKUP(TEXT(A47, "mmm-yy"), TEXT([2]GASOLINE!$B$5:$B$208, "mmm-yy"), [2]GASOLINE!$IK$5:$IK$208, "Not Found")</f>
        <v>323.74339898225111</v>
      </c>
      <c r="K47">
        <f t="shared" ca="1" si="0"/>
        <v>1</v>
      </c>
      <c r="L47" cm="1">
        <f t="array" aca="1" ref="L47" ca="1">_xlfn.XLOOKUP(TEXT(A47, "mmm-yy"), TEXT([2]GASOLINE!$B$5:$B$208, "mmm-yy"), [2]GASOLINE!$C$5:$C$208, "Not Found")</f>
        <v>8106.1435859194589</v>
      </c>
      <c r="M47" cm="1">
        <f t="array" aca="1" ref="M47" ca="1">_xlfn.XLOOKUP(TEXT(A47, "mmm-yy"), TEXT([2]RUNS!$B$5:$B$208, "mmm-yy"), [2]RUNS!$BM$5:$BM$208, "Not Found")</f>
        <v>0.84244719018728476</v>
      </c>
    </row>
    <row r="48" spans="1:13" x14ac:dyDescent="0.25">
      <c r="A48" s="1">
        <f t="shared" ca="1" si="1"/>
        <v>45895</v>
      </c>
      <c r="B48" cm="1">
        <f t="array" aca="1" ref="B48" ca="1">_xlfn.XLOOKUP(TEXT(A48, "mmm-yy"), TEXT([1]Monthly!$C:$C, "mmm-yy"), [1]Monthly!$O:$O, "Not Found")</f>
        <v>68.079846847226648</v>
      </c>
      <c r="C48" cm="1">
        <f t="array" aca="1" ref="C48" ca="1">_xlfn.XLOOKUP(TEXT(A48, "mmm-yy"), TEXT([1]Monthly!$C:$C, "mmm-yy"), [1]Monthly!$P:$P, "Not Found")</f>
        <v>67.38393020441211</v>
      </c>
      <c r="D48" cm="1">
        <f t="array" aca="1" ref="D48" ca="1">_xlfn.XLOOKUP(TEXT(A48, "mmm-yy"), TEXT([1]Monthly!$C:$C, "mmm-yy"), [1]Monthly!$R:$R, "Not Found")</f>
        <v>61.744909205123847</v>
      </c>
      <c r="E48" cm="1">
        <f t="array" aca="1" ref="E48" ca="1">_xlfn.XLOOKUP(TEXT(A48, "mmm-yy"), TEXT([1]Monthly!$C:$C, "mmm-yy"), [1]Monthly!$S:$S, "Not Found")</f>
        <v>77.25984684722664</v>
      </c>
      <c r="F48" cm="1">
        <f t="array" aca="1" ref="F48" ca="1">_xlfn.XLOOKUP(TEXT(A48, "mmm-yy"), TEXT([2]RUNS!$B$5:$B$208, "mmm-yy"), [2]RUNS!$D$5:$D$208, "Not Found")</f>
        <v>30977.541385657638</v>
      </c>
      <c r="G48">
        <f>AVERAGE([3]Sheet1!$H2270,[3]Sheet1!$H2532)</f>
        <v>13881.625</v>
      </c>
      <c r="H48">
        <f>AVERAGE([3]Sheet1!$I2270,[3]Sheet1!$I2532)</f>
        <v>1.8999999999999986</v>
      </c>
      <c r="I48" cm="1">
        <f t="array" aca="1" ref="I48" ca="1">_xlfn.XLOOKUP(TEXT(A48, "mmm-yy"), TEXT([2]GASOLINE!$B$5:$B$208, "mmm-yy"), [2]GASOLINE!$IR$5:$IR$208, "Not Found")</f>
        <v>-367.20817076565578</v>
      </c>
      <c r="J48" cm="1">
        <f t="array" aca="1" ref="J48" ca="1">_xlfn.XLOOKUP(TEXT(A48, "mmm-yy"), TEXT([2]GASOLINE!$B$5:$B$208, "mmm-yy"), [2]GASOLINE!$IK$5:$IK$208, "Not Found")</f>
        <v>323.74339898225111</v>
      </c>
      <c r="K48">
        <f t="shared" ca="1" si="0"/>
        <v>1</v>
      </c>
      <c r="L48" cm="1">
        <f t="array" aca="1" ref="L48" ca="1">_xlfn.XLOOKUP(TEXT(A48, "mmm-yy"), TEXT([2]GASOLINE!$B$5:$B$208, "mmm-yy"), [2]GASOLINE!$C$5:$C$208, "Not Found")</f>
        <v>8106.1435859194589</v>
      </c>
      <c r="M48" cm="1">
        <f t="array" aca="1" ref="M48" ca="1">_xlfn.XLOOKUP(TEXT(A48, "mmm-yy"), TEXT([2]RUNS!$B$5:$B$208, "mmm-yy"), [2]RUNS!$BM$5:$BM$208, "Not Found")</f>
        <v>0.84244719018728476</v>
      </c>
    </row>
    <row r="49" spans="1:13" x14ac:dyDescent="0.25">
      <c r="A49" s="1">
        <f t="shared" ca="1" si="1"/>
        <v>45896</v>
      </c>
      <c r="B49" cm="1">
        <f t="array" aca="1" ref="B49" ca="1">_xlfn.XLOOKUP(TEXT(A49, "mmm-yy"), TEXT([1]Monthly!$C:$C, "mmm-yy"), [1]Monthly!$O:$O, "Not Found")</f>
        <v>68.079846847226648</v>
      </c>
      <c r="C49" cm="1">
        <f t="array" aca="1" ref="C49" ca="1">_xlfn.XLOOKUP(TEXT(A49, "mmm-yy"), TEXT([1]Monthly!$C:$C, "mmm-yy"), [1]Monthly!$P:$P, "Not Found")</f>
        <v>67.38393020441211</v>
      </c>
      <c r="D49" cm="1">
        <f t="array" aca="1" ref="D49" ca="1">_xlfn.XLOOKUP(TEXT(A49, "mmm-yy"), TEXT([1]Monthly!$C:$C, "mmm-yy"), [1]Monthly!$R:$R, "Not Found")</f>
        <v>61.744909205123847</v>
      </c>
      <c r="E49" cm="1">
        <f t="array" aca="1" ref="E49" ca="1">_xlfn.XLOOKUP(TEXT(A49, "mmm-yy"), TEXT([1]Monthly!$C:$C, "mmm-yy"), [1]Monthly!$S:$S, "Not Found")</f>
        <v>77.25984684722664</v>
      </c>
      <c r="F49" cm="1">
        <f t="array" aca="1" ref="F49" ca="1">_xlfn.XLOOKUP(TEXT(A49, "mmm-yy"), TEXT([2]RUNS!$B$5:$B$208, "mmm-yy"), [2]RUNS!$D$5:$D$208, "Not Found")</f>
        <v>30977.541385657638</v>
      </c>
      <c r="G49">
        <f>AVERAGE([3]Sheet1!$H2271,[3]Sheet1!$H2533)</f>
        <v>13881.625</v>
      </c>
      <c r="H49">
        <f>AVERAGE([3]Sheet1!$I2271,[3]Sheet1!$I2533)</f>
        <v>1.7150000000000034</v>
      </c>
      <c r="I49" cm="1">
        <f t="array" aca="1" ref="I49" ca="1">_xlfn.XLOOKUP(TEXT(A49, "mmm-yy"), TEXT([2]GASOLINE!$B$5:$B$208, "mmm-yy"), [2]GASOLINE!$IR$5:$IR$208, "Not Found")</f>
        <v>-367.20817076565578</v>
      </c>
      <c r="J49" cm="1">
        <f t="array" aca="1" ref="J49" ca="1">_xlfn.XLOOKUP(TEXT(A49, "mmm-yy"), TEXT([2]GASOLINE!$B$5:$B$208, "mmm-yy"), [2]GASOLINE!$IK$5:$IK$208, "Not Found")</f>
        <v>323.74339898225111</v>
      </c>
      <c r="K49">
        <f t="shared" ca="1" si="0"/>
        <v>1</v>
      </c>
      <c r="L49" cm="1">
        <f t="array" aca="1" ref="L49" ca="1">_xlfn.XLOOKUP(TEXT(A49, "mmm-yy"), TEXT([2]GASOLINE!$B$5:$B$208, "mmm-yy"), [2]GASOLINE!$C$5:$C$208, "Not Found")</f>
        <v>8106.1435859194589</v>
      </c>
      <c r="M49" cm="1">
        <f t="array" aca="1" ref="M49" ca="1">_xlfn.XLOOKUP(TEXT(A49, "mmm-yy"), TEXT([2]RUNS!$B$5:$B$208, "mmm-yy"), [2]RUNS!$BM$5:$BM$208, "Not Found")</f>
        <v>0.84244719018728476</v>
      </c>
    </row>
    <row r="50" spans="1:13" x14ac:dyDescent="0.25">
      <c r="A50" s="1">
        <f t="shared" ca="1" si="1"/>
        <v>45897</v>
      </c>
      <c r="B50" cm="1">
        <f t="array" aca="1" ref="B50" ca="1">_xlfn.XLOOKUP(TEXT(A50, "mmm-yy"), TEXT([1]Monthly!$C:$C, "mmm-yy"), [1]Monthly!$O:$O, "Not Found")</f>
        <v>68.079846847226648</v>
      </c>
      <c r="C50" cm="1">
        <f t="array" aca="1" ref="C50" ca="1">_xlfn.XLOOKUP(TEXT(A50, "mmm-yy"), TEXT([1]Monthly!$C:$C, "mmm-yy"), [1]Monthly!$P:$P, "Not Found")</f>
        <v>67.38393020441211</v>
      </c>
      <c r="D50" cm="1">
        <f t="array" aca="1" ref="D50" ca="1">_xlfn.XLOOKUP(TEXT(A50, "mmm-yy"), TEXT([1]Monthly!$C:$C, "mmm-yy"), [1]Monthly!$R:$R, "Not Found")</f>
        <v>61.744909205123847</v>
      </c>
      <c r="E50" cm="1">
        <f t="array" aca="1" ref="E50" ca="1">_xlfn.XLOOKUP(TEXT(A50, "mmm-yy"), TEXT([1]Monthly!$C:$C, "mmm-yy"), [1]Monthly!$S:$S, "Not Found")</f>
        <v>77.25984684722664</v>
      </c>
      <c r="F50" cm="1">
        <f t="array" aca="1" ref="F50" ca="1">_xlfn.XLOOKUP(TEXT(A50, "mmm-yy"), TEXT([2]RUNS!$B$5:$B$208, "mmm-yy"), [2]RUNS!$D$5:$D$208, "Not Found")</f>
        <v>30977.541385657638</v>
      </c>
      <c r="G50">
        <f>AVERAGE([3]Sheet1!$H2272,[3]Sheet1!$H2534)</f>
        <v>13881.625</v>
      </c>
      <c r="H50">
        <f>AVERAGE([3]Sheet1!$I2272,[3]Sheet1!$I2534)</f>
        <v>2.0500000000000043</v>
      </c>
      <c r="I50" cm="1">
        <f t="array" aca="1" ref="I50" ca="1">_xlfn.XLOOKUP(TEXT(A50, "mmm-yy"), TEXT([2]GASOLINE!$B$5:$B$208, "mmm-yy"), [2]GASOLINE!$IR$5:$IR$208, "Not Found")</f>
        <v>-367.20817076565578</v>
      </c>
      <c r="J50" cm="1">
        <f t="array" aca="1" ref="J50" ca="1">_xlfn.XLOOKUP(TEXT(A50, "mmm-yy"), TEXT([2]GASOLINE!$B$5:$B$208, "mmm-yy"), [2]GASOLINE!$IK$5:$IK$208, "Not Found")</f>
        <v>323.74339898225111</v>
      </c>
      <c r="K50">
        <f t="shared" ca="1" si="0"/>
        <v>1</v>
      </c>
      <c r="L50" cm="1">
        <f t="array" aca="1" ref="L50" ca="1">_xlfn.XLOOKUP(TEXT(A50, "mmm-yy"), TEXT([2]GASOLINE!$B$5:$B$208, "mmm-yy"), [2]GASOLINE!$C$5:$C$208, "Not Found")</f>
        <v>8106.1435859194589</v>
      </c>
      <c r="M50" cm="1">
        <f t="array" aca="1" ref="M50" ca="1">_xlfn.XLOOKUP(TEXT(A50, "mmm-yy"), TEXT([2]RUNS!$B$5:$B$208, "mmm-yy"), [2]RUNS!$BM$5:$BM$208, "Not Found")</f>
        <v>0.84244719018728476</v>
      </c>
    </row>
    <row r="51" spans="1:13" x14ac:dyDescent="0.25">
      <c r="A51" s="1">
        <f t="shared" ca="1" si="1"/>
        <v>45898</v>
      </c>
      <c r="B51" cm="1">
        <f t="array" aca="1" ref="B51" ca="1">_xlfn.XLOOKUP(TEXT(A51, "mmm-yy"), TEXT([1]Monthly!$C:$C, "mmm-yy"), [1]Monthly!$O:$O, "Not Found")</f>
        <v>68.079846847226648</v>
      </c>
      <c r="C51" cm="1">
        <f t="array" aca="1" ref="C51" ca="1">_xlfn.XLOOKUP(TEXT(A51, "mmm-yy"), TEXT([1]Monthly!$C:$C, "mmm-yy"), [1]Monthly!$P:$P, "Not Found")</f>
        <v>67.38393020441211</v>
      </c>
      <c r="D51" cm="1">
        <f t="array" aca="1" ref="D51" ca="1">_xlfn.XLOOKUP(TEXT(A51, "mmm-yy"), TEXT([1]Monthly!$C:$C, "mmm-yy"), [1]Monthly!$R:$R, "Not Found")</f>
        <v>61.744909205123847</v>
      </c>
      <c r="E51" cm="1">
        <f t="array" aca="1" ref="E51" ca="1">_xlfn.XLOOKUP(TEXT(A51, "mmm-yy"), TEXT([1]Monthly!$C:$C, "mmm-yy"), [1]Monthly!$S:$S, "Not Found")</f>
        <v>77.25984684722664</v>
      </c>
      <c r="F51" cm="1">
        <f t="array" aca="1" ref="F51" ca="1">_xlfn.XLOOKUP(TEXT(A51, "mmm-yy"), TEXT([2]RUNS!$B$5:$B$208, "mmm-yy"), [2]RUNS!$D$5:$D$208, "Not Found")</f>
        <v>30977.541385657638</v>
      </c>
      <c r="G51">
        <f>AVERAGE([3]Sheet1!$H2273,[3]Sheet1!$H2535)</f>
        <v>13881.625</v>
      </c>
      <c r="H51">
        <f>AVERAGE([3]Sheet1!$I2273,[3]Sheet1!$I2535)</f>
        <v>2.3249999999999957</v>
      </c>
      <c r="I51" cm="1">
        <f t="array" aca="1" ref="I51" ca="1">_xlfn.XLOOKUP(TEXT(A51, "mmm-yy"), TEXT([2]GASOLINE!$B$5:$B$208, "mmm-yy"), [2]GASOLINE!$IR$5:$IR$208, "Not Found")</f>
        <v>-367.20817076565578</v>
      </c>
      <c r="J51" cm="1">
        <f t="array" aca="1" ref="J51" ca="1">_xlfn.XLOOKUP(TEXT(A51, "mmm-yy"), TEXT([2]GASOLINE!$B$5:$B$208, "mmm-yy"), [2]GASOLINE!$IK$5:$IK$208, "Not Found")</f>
        <v>323.74339898225111</v>
      </c>
      <c r="K51">
        <f t="shared" ca="1" si="0"/>
        <v>1</v>
      </c>
      <c r="L51" cm="1">
        <f t="array" aca="1" ref="L51" ca="1">_xlfn.XLOOKUP(TEXT(A51, "mmm-yy"), TEXT([2]GASOLINE!$B$5:$B$208, "mmm-yy"), [2]GASOLINE!$C$5:$C$208, "Not Found")</f>
        <v>8106.1435859194589</v>
      </c>
      <c r="M51" cm="1">
        <f t="array" aca="1" ref="M51" ca="1">_xlfn.XLOOKUP(TEXT(A51, "mmm-yy"), TEXT([2]RUNS!$B$5:$B$208, "mmm-yy"), [2]RUNS!$BM$5:$BM$208, "Not Found")</f>
        <v>0.84244719018728476</v>
      </c>
    </row>
    <row r="52" spans="1:13" x14ac:dyDescent="0.25">
      <c r="A52" s="1">
        <f t="shared" ca="1" si="1"/>
        <v>45899</v>
      </c>
      <c r="B52" cm="1">
        <f t="array" aca="1" ref="B52" ca="1">_xlfn.XLOOKUP(TEXT(A52, "mmm-yy"), TEXT([1]Monthly!$C:$C, "mmm-yy"), [1]Monthly!$O:$O, "Not Found")</f>
        <v>68.079846847226648</v>
      </c>
      <c r="C52" cm="1">
        <f t="array" aca="1" ref="C52" ca="1">_xlfn.XLOOKUP(TEXT(A52, "mmm-yy"), TEXT([1]Monthly!$C:$C, "mmm-yy"), [1]Monthly!$P:$P, "Not Found")</f>
        <v>67.38393020441211</v>
      </c>
      <c r="D52" cm="1">
        <f t="array" aca="1" ref="D52" ca="1">_xlfn.XLOOKUP(TEXT(A52, "mmm-yy"), TEXT([1]Monthly!$C:$C, "mmm-yy"), [1]Monthly!$R:$R, "Not Found")</f>
        <v>61.744909205123847</v>
      </c>
      <c r="E52" cm="1">
        <f t="array" aca="1" ref="E52" ca="1">_xlfn.XLOOKUP(TEXT(A52, "mmm-yy"), TEXT([1]Monthly!$C:$C, "mmm-yy"), [1]Monthly!$S:$S, "Not Found")</f>
        <v>77.25984684722664</v>
      </c>
      <c r="F52" cm="1">
        <f t="array" aca="1" ref="F52" ca="1">_xlfn.XLOOKUP(TEXT(A52, "mmm-yy"), TEXT([2]RUNS!$B$5:$B$208, "mmm-yy"), [2]RUNS!$D$5:$D$208, "Not Found")</f>
        <v>30977.541385657638</v>
      </c>
      <c r="G52">
        <f>AVERAGE([3]Sheet1!$H2274,[3]Sheet1!$H2536)</f>
        <v>13881.625</v>
      </c>
      <c r="H52">
        <f>AVERAGE([3]Sheet1!$I2274,[3]Sheet1!$I2536)</f>
        <v>2.5499999999999972</v>
      </c>
      <c r="I52" cm="1">
        <f t="array" aca="1" ref="I52" ca="1">_xlfn.XLOOKUP(TEXT(A52, "mmm-yy"), TEXT([2]GASOLINE!$B$5:$B$208, "mmm-yy"), [2]GASOLINE!$IR$5:$IR$208, "Not Found")</f>
        <v>-367.20817076565578</v>
      </c>
      <c r="J52" cm="1">
        <f t="array" aca="1" ref="J52" ca="1">_xlfn.XLOOKUP(TEXT(A52, "mmm-yy"), TEXT([2]GASOLINE!$B$5:$B$208, "mmm-yy"), [2]GASOLINE!$IK$5:$IK$208, "Not Found")</f>
        <v>323.74339898225111</v>
      </c>
      <c r="K52">
        <f t="shared" ca="1" si="0"/>
        <v>1</v>
      </c>
      <c r="L52" cm="1">
        <f t="array" aca="1" ref="L52" ca="1">_xlfn.XLOOKUP(TEXT(A52, "mmm-yy"), TEXT([2]GASOLINE!$B$5:$B$208, "mmm-yy"), [2]GASOLINE!$C$5:$C$208, "Not Found")</f>
        <v>8106.1435859194589</v>
      </c>
      <c r="M52" cm="1">
        <f t="array" aca="1" ref="M52" ca="1">_xlfn.XLOOKUP(TEXT(A52, "mmm-yy"), TEXT([2]RUNS!$B$5:$B$208, "mmm-yy"), [2]RUNS!$BM$5:$BM$208, "Not Found")</f>
        <v>0.84244719018728476</v>
      </c>
    </row>
    <row r="53" spans="1:13" x14ac:dyDescent="0.25">
      <c r="A53" s="1">
        <f t="shared" ca="1" si="1"/>
        <v>45900</v>
      </c>
      <c r="B53" cm="1">
        <f t="array" aca="1" ref="B53" ca="1">_xlfn.XLOOKUP(TEXT(A53, "mmm-yy"), TEXT([1]Monthly!$C:$C, "mmm-yy"), [1]Monthly!$O:$O, "Not Found")</f>
        <v>68.079846847226648</v>
      </c>
      <c r="C53" cm="1">
        <f t="array" aca="1" ref="C53" ca="1">_xlfn.XLOOKUP(TEXT(A53, "mmm-yy"), TEXT([1]Monthly!$C:$C, "mmm-yy"), [1]Monthly!$P:$P, "Not Found")</f>
        <v>67.38393020441211</v>
      </c>
      <c r="D53" cm="1">
        <f t="array" aca="1" ref="D53" ca="1">_xlfn.XLOOKUP(TEXT(A53, "mmm-yy"), TEXT([1]Monthly!$C:$C, "mmm-yy"), [1]Monthly!$R:$R, "Not Found")</f>
        <v>61.744909205123847</v>
      </c>
      <c r="E53" cm="1">
        <f t="array" aca="1" ref="E53" ca="1">_xlfn.XLOOKUP(TEXT(A53, "mmm-yy"), TEXT([1]Monthly!$C:$C, "mmm-yy"), [1]Monthly!$S:$S, "Not Found")</f>
        <v>77.25984684722664</v>
      </c>
      <c r="F53" cm="1">
        <f t="array" aca="1" ref="F53" ca="1">_xlfn.XLOOKUP(TEXT(A53, "mmm-yy"), TEXT([2]RUNS!$B$5:$B$208, "mmm-yy"), [2]RUNS!$D$5:$D$208, "Not Found")</f>
        <v>30977.541385657638</v>
      </c>
      <c r="G53">
        <f>AVERAGE([3]Sheet1!$H2275,[3]Sheet1!$H2537)</f>
        <v>13881.625</v>
      </c>
      <c r="H53">
        <f>AVERAGE([3]Sheet1!$I2275,[3]Sheet1!$I2537)</f>
        <v>2.5250000000000057</v>
      </c>
      <c r="I53" cm="1">
        <f t="array" aca="1" ref="I53" ca="1">_xlfn.XLOOKUP(TEXT(A53, "mmm-yy"), TEXT([2]GASOLINE!$B$5:$B$208, "mmm-yy"), [2]GASOLINE!$IR$5:$IR$208, "Not Found")</f>
        <v>-367.20817076565578</v>
      </c>
      <c r="J53" cm="1">
        <f t="array" aca="1" ref="J53" ca="1">_xlfn.XLOOKUP(TEXT(A53, "mmm-yy"), TEXT([2]GASOLINE!$B$5:$B$208, "mmm-yy"), [2]GASOLINE!$IK$5:$IK$208, "Not Found")</f>
        <v>323.74339898225111</v>
      </c>
      <c r="K53">
        <f t="shared" ca="1" si="0"/>
        <v>1</v>
      </c>
      <c r="L53" cm="1">
        <f t="array" aca="1" ref="L53" ca="1">_xlfn.XLOOKUP(TEXT(A53, "mmm-yy"), TEXT([2]GASOLINE!$B$5:$B$208, "mmm-yy"), [2]GASOLINE!$C$5:$C$208, "Not Found")</f>
        <v>8106.1435859194589</v>
      </c>
      <c r="M53" cm="1">
        <f t="array" aca="1" ref="M53" ca="1">_xlfn.XLOOKUP(TEXT(A53, "mmm-yy"), TEXT([2]RUNS!$B$5:$B$208, "mmm-yy"), [2]RUNS!$BM$5:$BM$208, "Not Found")</f>
        <v>0.84244719018728476</v>
      </c>
    </row>
    <row r="54" spans="1:13" x14ac:dyDescent="0.25">
      <c r="A54" s="1">
        <f t="shared" ca="1" si="1"/>
        <v>45901</v>
      </c>
      <c r="B54" cm="1">
        <f t="array" aca="1" ref="B54" ca="1">_xlfn.XLOOKUP(TEXT(A54, "mmm-yy"), TEXT([1]Monthly!$C:$C, "mmm-yy"), [1]Monthly!$O:$O, "Not Found")</f>
        <v>65.745557982241166</v>
      </c>
      <c r="C54" cm="1">
        <f t="array" aca="1" ref="C54" ca="1">_xlfn.XLOOKUP(TEXT(A54, "mmm-yy"), TEXT([1]Monthly!$C:$C, "mmm-yy"), [1]Monthly!$P:$P, "Not Found")</f>
        <v>65.933943461310818</v>
      </c>
      <c r="D54" cm="1">
        <f t="array" aca="1" ref="D54" ca="1">_xlfn.XLOOKUP(TEXT(A54, "mmm-yy"), TEXT([1]Monthly!$C:$C, "mmm-yy"), [1]Monthly!$R:$R, "Not Found")</f>
        <v>61.466594799402699</v>
      </c>
      <c r="E54" cm="1">
        <f t="array" aca="1" ref="E54" ca="1">_xlfn.XLOOKUP(TEXT(A54, "mmm-yy"), TEXT([1]Monthly!$C:$C, "mmm-yy"), [1]Monthly!$S:$S, "Not Found")</f>
        <v>72.165557982241168</v>
      </c>
      <c r="F54" cm="1">
        <f t="array" aca="1" ref="F54" ca="1">_xlfn.XLOOKUP(TEXT(A54, "mmm-yy"), TEXT([2]RUNS!$B$5:$B$208, "mmm-yy"), [2]RUNS!$D$5:$D$208, "Not Found")</f>
        <v>30649.067639677844</v>
      </c>
      <c r="G54">
        <f>AVERAGE([3]Sheet1!$H2276,[3]Sheet1!$H2538)</f>
        <v>13881.625</v>
      </c>
      <c r="H54">
        <f>AVERAGE([3]Sheet1!$I2276,[3]Sheet1!$I2538)</f>
        <v>2.2100000000000009</v>
      </c>
      <c r="I54" cm="1">
        <f t="array" aca="1" ref="I54" ca="1">_xlfn.XLOOKUP(TEXT(A54, "mmm-yy"), TEXT([2]GASOLINE!$B$5:$B$208, "mmm-yy"), [2]GASOLINE!$IR$5:$IR$208, "Not Found")</f>
        <v>-327.55589049834299</v>
      </c>
      <c r="J54" cm="1">
        <f t="array" aca="1" ref="J54" ca="1">_xlfn.XLOOKUP(TEXT(A54, "mmm-yy"), TEXT([2]GASOLINE!$B$5:$B$208, "mmm-yy"), [2]GASOLINE!$IK$5:$IK$208, "Not Found")</f>
        <v>315.59572279560928</v>
      </c>
      <c r="K54">
        <f t="shared" ca="1" si="0"/>
        <v>1</v>
      </c>
      <c r="L54" cm="1">
        <f t="array" aca="1" ref="L54" ca="1">_xlfn.XLOOKUP(TEXT(A54, "mmm-yy"), TEXT([2]GASOLINE!$B$5:$B$208, "mmm-yy"), [2]GASOLINE!$C$5:$C$208, "Not Found")</f>
        <v>7882.5775308994744</v>
      </c>
      <c r="M54" cm="1">
        <f t="array" aca="1" ref="M54" ca="1">_xlfn.XLOOKUP(TEXT(A54, "mmm-yy"), TEXT([2]RUNS!$B$5:$B$208, "mmm-yy"), [2]RUNS!$BM$5:$BM$208, "Not Found")</f>
        <v>0.82082818163425675</v>
      </c>
    </row>
    <row r="55" spans="1:13" x14ac:dyDescent="0.25">
      <c r="A55" s="1">
        <f t="shared" ca="1" si="1"/>
        <v>45902</v>
      </c>
      <c r="B55" cm="1">
        <f t="array" aca="1" ref="B55" ca="1">_xlfn.XLOOKUP(TEXT(A55, "mmm-yy"), TEXT([1]Monthly!$C:$C, "mmm-yy"), [1]Monthly!$O:$O, "Not Found")</f>
        <v>65.745557982241166</v>
      </c>
      <c r="C55" cm="1">
        <f t="array" aca="1" ref="C55" ca="1">_xlfn.XLOOKUP(TEXT(A55, "mmm-yy"), TEXT([1]Monthly!$C:$C, "mmm-yy"), [1]Monthly!$P:$P, "Not Found")</f>
        <v>65.933943461310818</v>
      </c>
      <c r="D55" cm="1">
        <f t="array" aca="1" ref="D55" ca="1">_xlfn.XLOOKUP(TEXT(A55, "mmm-yy"), TEXT([1]Monthly!$C:$C, "mmm-yy"), [1]Monthly!$R:$R, "Not Found")</f>
        <v>61.466594799402699</v>
      </c>
      <c r="E55" cm="1">
        <f t="array" aca="1" ref="E55" ca="1">_xlfn.XLOOKUP(TEXT(A55, "mmm-yy"), TEXT([1]Monthly!$C:$C, "mmm-yy"), [1]Monthly!$S:$S, "Not Found")</f>
        <v>72.165557982241168</v>
      </c>
      <c r="F55" cm="1">
        <f t="array" aca="1" ref="F55" ca="1">_xlfn.XLOOKUP(TEXT(A55, "mmm-yy"), TEXT([2]RUNS!$B$5:$B$208, "mmm-yy"), [2]RUNS!$D$5:$D$208, "Not Found")</f>
        <v>30649.067639677844</v>
      </c>
      <c r="G55">
        <f>AVERAGE([3]Sheet1!$H2277,[3]Sheet1!$H2539)</f>
        <v>13881.625</v>
      </c>
      <c r="H55">
        <f>AVERAGE([3]Sheet1!$I2277,[3]Sheet1!$I2539)</f>
        <v>2.0700000000000003</v>
      </c>
      <c r="I55" cm="1">
        <f t="array" aca="1" ref="I55" ca="1">_xlfn.XLOOKUP(TEXT(A55, "mmm-yy"), TEXT([2]GASOLINE!$B$5:$B$208, "mmm-yy"), [2]GASOLINE!$IR$5:$IR$208, "Not Found")</f>
        <v>-327.55589049834299</v>
      </c>
      <c r="J55" cm="1">
        <f t="array" aca="1" ref="J55" ca="1">_xlfn.XLOOKUP(TEXT(A55, "mmm-yy"), TEXT([2]GASOLINE!$B$5:$B$208, "mmm-yy"), [2]GASOLINE!$IK$5:$IK$208, "Not Found")</f>
        <v>315.59572279560928</v>
      </c>
      <c r="K55">
        <f t="shared" ca="1" si="0"/>
        <v>1</v>
      </c>
      <c r="L55" cm="1">
        <f t="array" aca="1" ref="L55" ca="1">_xlfn.XLOOKUP(TEXT(A55, "mmm-yy"), TEXT([2]GASOLINE!$B$5:$B$208, "mmm-yy"), [2]GASOLINE!$C$5:$C$208, "Not Found")</f>
        <v>7882.5775308994744</v>
      </c>
      <c r="M55" cm="1">
        <f t="array" aca="1" ref="M55" ca="1">_xlfn.XLOOKUP(TEXT(A55, "mmm-yy"), TEXT([2]RUNS!$B$5:$B$208, "mmm-yy"), [2]RUNS!$BM$5:$BM$208, "Not Found")</f>
        <v>0.82082818163425675</v>
      </c>
    </row>
    <row r="56" spans="1:13" x14ac:dyDescent="0.25">
      <c r="A56" s="1">
        <f t="shared" ca="1" si="1"/>
        <v>45903</v>
      </c>
      <c r="B56" cm="1">
        <f t="array" aca="1" ref="B56" ca="1">_xlfn.XLOOKUP(TEXT(A56, "mmm-yy"), TEXT([1]Monthly!$C:$C, "mmm-yy"), [1]Monthly!$O:$O, "Not Found")</f>
        <v>65.745557982241166</v>
      </c>
      <c r="C56" cm="1">
        <f t="array" aca="1" ref="C56" ca="1">_xlfn.XLOOKUP(TEXT(A56, "mmm-yy"), TEXT([1]Monthly!$C:$C, "mmm-yy"), [1]Monthly!$P:$P, "Not Found")</f>
        <v>65.933943461310818</v>
      </c>
      <c r="D56" cm="1">
        <f t="array" aca="1" ref="D56" ca="1">_xlfn.XLOOKUP(TEXT(A56, "mmm-yy"), TEXT([1]Monthly!$C:$C, "mmm-yy"), [1]Monthly!$R:$R, "Not Found")</f>
        <v>61.466594799402699</v>
      </c>
      <c r="E56" cm="1">
        <f t="array" aca="1" ref="E56" ca="1">_xlfn.XLOOKUP(TEXT(A56, "mmm-yy"), TEXT([1]Monthly!$C:$C, "mmm-yy"), [1]Monthly!$S:$S, "Not Found")</f>
        <v>72.165557982241168</v>
      </c>
      <c r="F56" cm="1">
        <f t="array" aca="1" ref="F56" ca="1">_xlfn.XLOOKUP(TEXT(A56, "mmm-yy"), TEXT([2]RUNS!$B$5:$B$208, "mmm-yy"), [2]RUNS!$D$5:$D$208, "Not Found")</f>
        <v>30649.067639677844</v>
      </c>
      <c r="G56">
        <f>AVERAGE([3]Sheet1!$H2278,[3]Sheet1!$H2540)</f>
        <v>13881.625</v>
      </c>
      <c r="H56">
        <f>AVERAGE([3]Sheet1!$I2278,[3]Sheet1!$I2540)</f>
        <v>1.8249999999999957</v>
      </c>
      <c r="I56" cm="1">
        <f t="array" aca="1" ref="I56" ca="1">_xlfn.XLOOKUP(TEXT(A56, "mmm-yy"), TEXT([2]GASOLINE!$B$5:$B$208, "mmm-yy"), [2]GASOLINE!$IR$5:$IR$208, "Not Found")</f>
        <v>-327.55589049834299</v>
      </c>
      <c r="J56" cm="1">
        <f t="array" aca="1" ref="J56" ca="1">_xlfn.XLOOKUP(TEXT(A56, "mmm-yy"), TEXT([2]GASOLINE!$B$5:$B$208, "mmm-yy"), [2]GASOLINE!$IK$5:$IK$208, "Not Found")</f>
        <v>315.59572279560928</v>
      </c>
      <c r="K56">
        <f t="shared" ca="1" si="0"/>
        <v>1</v>
      </c>
      <c r="L56" cm="1">
        <f t="array" aca="1" ref="L56" ca="1">_xlfn.XLOOKUP(TEXT(A56, "mmm-yy"), TEXT([2]GASOLINE!$B$5:$B$208, "mmm-yy"), [2]GASOLINE!$C$5:$C$208, "Not Found")</f>
        <v>7882.5775308994744</v>
      </c>
      <c r="M56" cm="1">
        <f t="array" aca="1" ref="M56" ca="1">_xlfn.XLOOKUP(TEXT(A56, "mmm-yy"), TEXT([2]RUNS!$B$5:$B$208, "mmm-yy"), [2]RUNS!$BM$5:$BM$208, "Not Found")</f>
        <v>0.82082818163425675</v>
      </c>
    </row>
    <row r="57" spans="1:13" x14ac:dyDescent="0.25">
      <c r="A57" s="1">
        <f t="shared" ca="1" si="1"/>
        <v>45904</v>
      </c>
      <c r="B57" cm="1">
        <f t="array" aca="1" ref="B57" ca="1">_xlfn.XLOOKUP(TEXT(A57, "mmm-yy"), TEXT([1]Monthly!$C:$C, "mmm-yy"), [1]Monthly!$O:$O, "Not Found")</f>
        <v>65.745557982241166</v>
      </c>
      <c r="C57" cm="1">
        <f t="array" aca="1" ref="C57" ca="1">_xlfn.XLOOKUP(TEXT(A57, "mmm-yy"), TEXT([1]Monthly!$C:$C, "mmm-yy"), [1]Monthly!$P:$P, "Not Found")</f>
        <v>65.933943461310818</v>
      </c>
      <c r="D57" cm="1">
        <f t="array" aca="1" ref="D57" ca="1">_xlfn.XLOOKUP(TEXT(A57, "mmm-yy"), TEXT([1]Monthly!$C:$C, "mmm-yy"), [1]Monthly!$R:$R, "Not Found")</f>
        <v>61.466594799402699</v>
      </c>
      <c r="E57" cm="1">
        <f t="array" aca="1" ref="E57" ca="1">_xlfn.XLOOKUP(TEXT(A57, "mmm-yy"), TEXT([1]Monthly!$C:$C, "mmm-yy"), [1]Monthly!$S:$S, "Not Found")</f>
        <v>72.165557982241168</v>
      </c>
      <c r="F57" cm="1">
        <f t="array" aca="1" ref="F57" ca="1">_xlfn.XLOOKUP(TEXT(A57, "mmm-yy"), TEXT([2]RUNS!$B$5:$B$208, "mmm-yy"), [2]RUNS!$D$5:$D$208, "Not Found")</f>
        <v>30649.067639677844</v>
      </c>
      <c r="G57">
        <f>AVERAGE([3]Sheet1!$H2279,[3]Sheet1!$H2541)</f>
        <v>13881.625</v>
      </c>
      <c r="H57">
        <f>AVERAGE([3]Sheet1!$I2279,[3]Sheet1!$I2541)</f>
        <v>1.6749999999999972</v>
      </c>
      <c r="I57" cm="1">
        <f t="array" aca="1" ref="I57" ca="1">_xlfn.XLOOKUP(TEXT(A57, "mmm-yy"), TEXT([2]GASOLINE!$B$5:$B$208, "mmm-yy"), [2]GASOLINE!$IR$5:$IR$208, "Not Found")</f>
        <v>-327.55589049834299</v>
      </c>
      <c r="J57" cm="1">
        <f t="array" aca="1" ref="J57" ca="1">_xlfn.XLOOKUP(TEXT(A57, "mmm-yy"), TEXT([2]GASOLINE!$B$5:$B$208, "mmm-yy"), [2]GASOLINE!$IK$5:$IK$208, "Not Found")</f>
        <v>315.59572279560928</v>
      </c>
      <c r="K57">
        <f t="shared" ca="1" si="0"/>
        <v>1</v>
      </c>
      <c r="L57" cm="1">
        <f t="array" aca="1" ref="L57" ca="1">_xlfn.XLOOKUP(TEXT(A57, "mmm-yy"), TEXT([2]GASOLINE!$B$5:$B$208, "mmm-yy"), [2]GASOLINE!$C$5:$C$208, "Not Found")</f>
        <v>7882.5775308994744</v>
      </c>
      <c r="M57" cm="1">
        <f t="array" aca="1" ref="M57" ca="1">_xlfn.XLOOKUP(TEXT(A57, "mmm-yy"), TEXT([2]RUNS!$B$5:$B$208, "mmm-yy"), [2]RUNS!$BM$5:$BM$208, "Not Found")</f>
        <v>0.82082818163425675</v>
      </c>
    </row>
    <row r="58" spans="1:13" x14ac:dyDescent="0.25">
      <c r="A58" s="1">
        <f t="shared" ca="1" si="1"/>
        <v>45905</v>
      </c>
      <c r="B58" cm="1">
        <f t="array" aca="1" ref="B58" ca="1">_xlfn.XLOOKUP(TEXT(A58, "mmm-yy"), TEXT([1]Monthly!$C:$C, "mmm-yy"), [1]Monthly!$O:$O, "Not Found")</f>
        <v>65.745557982241166</v>
      </c>
      <c r="C58" cm="1">
        <f t="array" aca="1" ref="C58" ca="1">_xlfn.XLOOKUP(TEXT(A58, "mmm-yy"), TEXT([1]Monthly!$C:$C, "mmm-yy"), [1]Monthly!$P:$P, "Not Found")</f>
        <v>65.933943461310818</v>
      </c>
      <c r="D58" cm="1">
        <f t="array" aca="1" ref="D58" ca="1">_xlfn.XLOOKUP(TEXT(A58, "mmm-yy"), TEXT([1]Monthly!$C:$C, "mmm-yy"), [1]Monthly!$R:$R, "Not Found")</f>
        <v>61.466594799402699</v>
      </c>
      <c r="E58" cm="1">
        <f t="array" aca="1" ref="E58" ca="1">_xlfn.XLOOKUP(TEXT(A58, "mmm-yy"), TEXT([1]Monthly!$C:$C, "mmm-yy"), [1]Monthly!$S:$S, "Not Found")</f>
        <v>72.165557982241168</v>
      </c>
      <c r="F58" cm="1">
        <f t="array" aca="1" ref="F58" ca="1">_xlfn.XLOOKUP(TEXT(A58, "mmm-yy"), TEXT([2]RUNS!$B$5:$B$208, "mmm-yy"), [2]RUNS!$D$5:$D$208, "Not Found")</f>
        <v>30649.067639677844</v>
      </c>
      <c r="G58">
        <f>AVERAGE([3]Sheet1!$H2280,[3]Sheet1!$H2542)</f>
        <v>13881.625</v>
      </c>
      <c r="H58">
        <f>AVERAGE([3]Sheet1!$I2280,[3]Sheet1!$I2542)</f>
        <v>1.6400000000000006</v>
      </c>
      <c r="I58" cm="1">
        <f t="array" aca="1" ref="I58" ca="1">_xlfn.XLOOKUP(TEXT(A58, "mmm-yy"), TEXT([2]GASOLINE!$B$5:$B$208, "mmm-yy"), [2]GASOLINE!$IR$5:$IR$208, "Not Found")</f>
        <v>-327.55589049834299</v>
      </c>
      <c r="J58" cm="1">
        <f t="array" aca="1" ref="J58" ca="1">_xlfn.XLOOKUP(TEXT(A58, "mmm-yy"), TEXT([2]GASOLINE!$B$5:$B$208, "mmm-yy"), [2]GASOLINE!$IK$5:$IK$208, "Not Found")</f>
        <v>315.59572279560928</v>
      </c>
      <c r="K58">
        <f t="shared" ca="1" si="0"/>
        <v>1</v>
      </c>
      <c r="L58" cm="1">
        <f t="array" aca="1" ref="L58" ca="1">_xlfn.XLOOKUP(TEXT(A58, "mmm-yy"), TEXT([2]GASOLINE!$B$5:$B$208, "mmm-yy"), [2]GASOLINE!$C$5:$C$208, "Not Found")</f>
        <v>7882.5775308994744</v>
      </c>
      <c r="M58" cm="1">
        <f t="array" aca="1" ref="M58" ca="1">_xlfn.XLOOKUP(TEXT(A58, "mmm-yy"), TEXT([2]RUNS!$B$5:$B$208, "mmm-yy"), [2]RUNS!$BM$5:$BM$208, "Not Found")</f>
        <v>0.82082818163425675</v>
      </c>
    </row>
    <row r="59" spans="1:13" x14ac:dyDescent="0.25">
      <c r="A59" s="1">
        <f t="shared" ca="1" si="1"/>
        <v>45906</v>
      </c>
      <c r="B59" cm="1">
        <f t="array" aca="1" ref="B59" ca="1">_xlfn.XLOOKUP(TEXT(A59, "mmm-yy"), TEXT([1]Monthly!$C:$C, "mmm-yy"), [1]Monthly!$O:$O, "Not Found")</f>
        <v>65.745557982241166</v>
      </c>
      <c r="C59" cm="1">
        <f t="array" aca="1" ref="C59" ca="1">_xlfn.XLOOKUP(TEXT(A59, "mmm-yy"), TEXT([1]Monthly!$C:$C, "mmm-yy"), [1]Monthly!$P:$P, "Not Found")</f>
        <v>65.933943461310818</v>
      </c>
      <c r="D59" cm="1">
        <f t="array" aca="1" ref="D59" ca="1">_xlfn.XLOOKUP(TEXT(A59, "mmm-yy"), TEXT([1]Monthly!$C:$C, "mmm-yy"), [1]Monthly!$R:$R, "Not Found")</f>
        <v>61.466594799402699</v>
      </c>
      <c r="E59" cm="1">
        <f t="array" aca="1" ref="E59" ca="1">_xlfn.XLOOKUP(TEXT(A59, "mmm-yy"), TEXT([1]Monthly!$C:$C, "mmm-yy"), [1]Monthly!$S:$S, "Not Found")</f>
        <v>72.165557982241168</v>
      </c>
      <c r="F59" cm="1">
        <f t="array" aca="1" ref="F59" ca="1">_xlfn.XLOOKUP(TEXT(A59, "mmm-yy"), TEXT([2]RUNS!$B$5:$B$208, "mmm-yy"), [2]RUNS!$D$5:$D$208, "Not Found")</f>
        <v>30649.067639677844</v>
      </c>
      <c r="G59">
        <f>AVERAGE([3]Sheet1!$H2281,[3]Sheet1!$H2543)</f>
        <v>13881.625</v>
      </c>
      <c r="H59">
        <f>AVERAGE([3]Sheet1!$I2281,[3]Sheet1!$I2543)</f>
        <v>1.4799999999999969</v>
      </c>
      <c r="I59" cm="1">
        <f t="array" aca="1" ref="I59" ca="1">_xlfn.XLOOKUP(TEXT(A59, "mmm-yy"), TEXT([2]GASOLINE!$B$5:$B$208, "mmm-yy"), [2]GASOLINE!$IR$5:$IR$208, "Not Found")</f>
        <v>-327.55589049834299</v>
      </c>
      <c r="J59" cm="1">
        <f t="array" aca="1" ref="J59" ca="1">_xlfn.XLOOKUP(TEXT(A59, "mmm-yy"), TEXT([2]GASOLINE!$B$5:$B$208, "mmm-yy"), [2]GASOLINE!$IK$5:$IK$208, "Not Found")</f>
        <v>315.59572279560928</v>
      </c>
      <c r="K59">
        <f t="shared" ca="1" si="0"/>
        <v>1</v>
      </c>
      <c r="L59" cm="1">
        <f t="array" aca="1" ref="L59" ca="1">_xlfn.XLOOKUP(TEXT(A59, "mmm-yy"), TEXT([2]GASOLINE!$B$5:$B$208, "mmm-yy"), [2]GASOLINE!$C$5:$C$208, "Not Found")</f>
        <v>7882.5775308994744</v>
      </c>
      <c r="M59" cm="1">
        <f t="array" aca="1" ref="M59" ca="1">_xlfn.XLOOKUP(TEXT(A59, "mmm-yy"), TEXT([2]RUNS!$B$5:$B$208, "mmm-yy"), [2]RUNS!$BM$5:$BM$208, "Not Found")</f>
        <v>0.82082818163425675</v>
      </c>
    </row>
    <row r="60" spans="1:13" x14ac:dyDescent="0.25">
      <c r="A60" s="1">
        <f t="shared" ca="1" si="1"/>
        <v>45907</v>
      </c>
      <c r="B60" cm="1">
        <f t="array" aca="1" ref="B60" ca="1">_xlfn.XLOOKUP(TEXT(A60, "mmm-yy"), TEXT([1]Monthly!$C:$C, "mmm-yy"), [1]Monthly!$O:$O, "Not Found")</f>
        <v>65.745557982241166</v>
      </c>
      <c r="C60" cm="1">
        <f t="array" aca="1" ref="C60" ca="1">_xlfn.XLOOKUP(TEXT(A60, "mmm-yy"), TEXT([1]Monthly!$C:$C, "mmm-yy"), [1]Monthly!$P:$P, "Not Found")</f>
        <v>65.933943461310818</v>
      </c>
      <c r="D60" cm="1">
        <f t="array" aca="1" ref="D60" ca="1">_xlfn.XLOOKUP(TEXT(A60, "mmm-yy"), TEXT([1]Monthly!$C:$C, "mmm-yy"), [1]Monthly!$R:$R, "Not Found")</f>
        <v>61.466594799402699</v>
      </c>
      <c r="E60" cm="1">
        <f t="array" aca="1" ref="E60" ca="1">_xlfn.XLOOKUP(TEXT(A60, "mmm-yy"), TEXT([1]Monthly!$C:$C, "mmm-yy"), [1]Monthly!$S:$S, "Not Found")</f>
        <v>72.165557982241168</v>
      </c>
      <c r="F60" cm="1">
        <f t="array" aca="1" ref="F60" ca="1">_xlfn.XLOOKUP(TEXT(A60, "mmm-yy"), TEXT([2]RUNS!$B$5:$B$208, "mmm-yy"), [2]RUNS!$D$5:$D$208, "Not Found")</f>
        <v>30649.067639677844</v>
      </c>
      <c r="G60">
        <f>AVERAGE([3]Sheet1!$H2282,[3]Sheet1!$H2544)</f>
        <v>13881.625</v>
      </c>
      <c r="H60">
        <f>AVERAGE([3]Sheet1!$I2282,[3]Sheet1!$I2544)</f>
        <v>1.1650000000000063</v>
      </c>
      <c r="I60" cm="1">
        <f t="array" aca="1" ref="I60" ca="1">_xlfn.XLOOKUP(TEXT(A60, "mmm-yy"), TEXT([2]GASOLINE!$B$5:$B$208, "mmm-yy"), [2]GASOLINE!$IR$5:$IR$208, "Not Found")</f>
        <v>-327.55589049834299</v>
      </c>
      <c r="J60" cm="1">
        <f t="array" aca="1" ref="J60" ca="1">_xlfn.XLOOKUP(TEXT(A60, "mmm-yy"), TEXT([2]GASOLINE!$B$5:$B$208, "mmm-yy"), [2]GASOLINE!$IK$5:$IK$208, "Not Found")</f>
        <v>315.59572279560928</v>
      </c>
      <c r="K60">
        <f t="shared" ca="1" si="0"/>
        <v>1</v>
      </c>
      <c r="L60" cm="1">
        <f t="array" aca="1" ref="L60" ca="1">_xlfn.XLOOKUP(TEXT(A60, "mmm-yy"), TEXT([2]GASOLINE!$B$5:$B$208, "mmm-yy"), [2]GASOLINE!$C$5:$C$208, "Not Found")</f>
        <v>7882.5775308994744</v>
      </c>
      <c r="M60" cm="1">
        <f t="array" aca="1" ref="M60" ca="1">_xlfn.XLOOKUP(TEXT(A60, "mmm-yy"), TEXT([2]RUNS!$B$5:$B$208, "mmm-yy"), [2]RUNS!$BM$5:$BM$208, "Not Found")</f>
        <v>0.82082818163425675</v>
      </c>
    </row>
    <row r="61" spans="1:13" x14ac:dyDescent="0.25">
      <c r="A61" s="1">
        <f t="shared" ca="1" si="1"/>
        <v>45908</v>
      </c>
      <c r="B61" cm="1">
        <f t="array" aca="1" ref="B61" ca="1">_xlfn.XLOOKUP(TEXT(A61, "mmm-yy"), TEXT([1]Monthly!$C:$C, "mmm-yy"), [1]Monthly!$O:$O, "Not Found")</f>
        <v>65.745557982241166</v>
      </c>
      <c r="C61" cm="1">
        <f t="array" aca="1" ref="C61" ca="1">_xlfn.XLOOKUP(TEXT(A61, "mmm-yy"), TEXT([1]Monthly!$C:$C, "mmm-yy"), [1]Monthly!$P:$P, "Not Found")</f>
        <v>65.933943461310818</v>
      </c>
      <c r="D61" cm="1">
        <f t="array" aca="1" ref="D61" ca="1">_xlfn.XLOOKUP(TEXT(A61, "mmm-yy"), TEXT([1]Monthly!$C:$C, "mmm-yy"), [1]Monthly!$R:$R, "Not Found")</f>
        <v>61.466594799402699</v>
      </c>
      <c r="E61" cm="1">
        <f t="array" aca="1" ref="E61" ca="1">_xlfn.XLOOKUP(TEXT(A61, "mmm-yy"), TEXT([1]Monthly!$C:$C, "mmm-yy"), [1]Monthly!$S:$S, "Not Found")</f>
        <v>72.165557982241168</v>
      </c>
      <c r="F61" cm="1">
        <f t="array" aca="1" ref="F61" ca="1">_xlfn.XLOOKUP(TEXT(A61, "mmm-yy"), TEXT([2]RUNS!$B$5:$B$208, "mmm-yy"), [2]RUNS!$D$5:$D$208, "Not Found")</f>
        <v>30649.067639677844</v>
      </c>
      <c r="G61">
        <f>AVERAGE([3]Sheet1!$H2283,[3]Sheet1!$H2545)</f>
        <v>12870.5</v>
      </c>
      <c r="H61">
        <f>AVERAGE([3]Sheet1!$I2283,[3]Sheet1!$I2545)</f>
        <v>0.84999999999999432</v>
      </c>
      <c r="I61" cm="1">
        <f t="array" aca="1" ref="I61" ca="1">_xlfn.XLOOKUP(TEXT(A61, "mmm-yy"), TEXT([2]GASOLINE!$B$5:$B$208, "mmm-yy"), [2]GASOLINE!$IR$5:$IR$208, "Not Found")</f>
        <v>-327.55589049834299</v>
      </c>
      <c r="J61" cm="1">
        <f t="array" aca="1" ref="J61" ca="1">_xlfn.XLOOKUP(TEXT(A61, "mmm-yy"), TEXT([2]GASOLINE!$B$5:$B$208, "mmm-yy"), [2]GASOLINE!$IK$5:$IK$208, "Not Found")</f>
        <v>315.59572279560928</v>
      </c>
      <c r="K61">
        <f t="shared" ca="1" si="0"/>
        <v>1</v>
      </c>
      <c r="L61" cm="1">
        <f t="array" aca="1" ref="L61" ca="1">_xlfn.XLOOKUP(TEXT(A61, "mmm-yy"), TEXT([2]GASOLINE!$B$5:$B$208, "mmm-yy"), [2]GASOLINE!$C$5:$C$208, "Not Found")</f>
        <v>7882.5775308994744</v>
      </c>
      <c r="M61" cm="1">
        <f t="array" aca="1" ref="M61" ca="1">_xlfn.XLOOKUP(TEXT(A61, "mmm-yy"), TEXT([2]RUNS!$B$5:$B$208, "mmm-yy"), [2]RUNS!$BM$5:$BM$208, "Not Found")</f>
        <v>0.82082818163425675</v>
      </c>
    </row>
    <row r="62" spans="1:13" x14ac:dyDescent="0.25">
      <c r="A62" s="1">
        <f t="shared" ca="1" si="1"/>
        <v>45909</v>
      </c>
      <c r="B62" cm="1">
        <f t="array" aca="1" ref="B62" ca="1">_xlfn.XLOOKUP(TEXT(A62, "mmm-yy"), TEXT([1]Monthly!$C:$C, "mmm-yy"), [1]Monthly!$O:$O, "Not Found")</f>
        <v>65.745557982241166</v>
      </c>
      <c r="C62" cm="1">
        <f t="array" aca="1" ref="C62" ca="1">_xlfn.XLOOKUP(TEXT(A62, "mmm-yy"), TEXT([1]Monthly!$C:$C, "mmm-yy"), [1]Monthly!$P:$P, "Not Found")</f>
        <v>65.933943461310818</v>
      </c>
      <c r="D62" cm="1">
        <f t="array" aca="1" ref="D62" ca="1">_xlfn.XLOOKUP(TEXT(A62, "mmm-yy"), TEXT([1]Monthly!$C:$C, "mmm-yy"), [1]Monthly!$R:$R, "Not Found")</f>
        <v>61.466594799402699</v>
      </c>
      <c r="E62" cm="1">
        <f t="array" aca="1" ref="E62" ca="1">_xlfn.XLOOKUP(TEXT(A62, "mmm-yy"), TEXT([1]Monthly!$C:$C, "mmm-yy"), [1]Monthly!$S:$S, "Not Found")</f>
        <v>72.165557982241168</v>
      </c>
      <c r="F62" cm="1">
        <f t="array" aca="1" ref="F62" ca="1">_xlfn.XLOOKUP(TEXT(A62, "mmm-yy"), TEXT([2]RUNS!$B$5:$B$208, "mmm-yy"), [2]RUNS!$D$5:$D$208, "Not Found")</f>
        <v>30649.067639677844</v>
      </c>
      <c r="G62">
        <f>AVERAGE([3]Sheet1!$H2284,[3]Sheet1!$H2546)</f>
        <v>12449</v>
      </c>
      <c r="H62">
        <f>AVERAGE([3]Sheet1!$I2284,[3]Sheet1!$I2546)</f>
        <v>0.36499999999999488</v>
      </c>
      <c r="I62" cm="1">
        <f t="array" aca="1" ref="I62" ca="1">_xlfn.XLOOKUP(TEXT(A62, "mmm-yy"), TEXT([2]GASOLINE!$B$5:$B$208, "mmm-yy"), [2]GASOLINE!$IR$5:$IR$208, "Not Found")</f>
        <v>-327.55589049834299</v>
      </c>
      <c r="J62" cm="1">
        <f t="array" aca="1" ref="J62" ca="1">_xlfn.XLOOKUP(TEXT(A62, "mmm-yy"), TEXT([2]GASOLINE!$B$5:$B$208, "mmm-yy"), [2]GASOLINE!$IK$5:$IK$208, "Not Found")</f>
        <v>315.59572279560928</v>
      </c>
      <c r="K62">
        <f t="shared" ca="1" si="0"/>
        <v>1</v>
      </c>
      <c r="L62" cm="1">
        <f t="array" aca="1" ref="L62" ca="1">_xlfn.XLOOKUP(TEXT(A62, "mmm-yy"), TEXT([2]GASOLINE!$B$5:$B$208, "mmm-yy"), [2]GASOLINE!$C$5:$C$208, "Not Found")</f>
        <v>7882.5775308994744</v>
      </c>
      <c r="M62" cm="1">
        <f t="array" aca="1" ref="M62" ca="1">_xlfn.XLOOKUP(TEXT(A62, "mmm-yy"), TEXT([2]RUNS!$B$5:$B$208, "mmm-yy"), [2]RUNS!$BM$5:$BM$208, "Not Found")</f>
        <v>0.82082818163425675</v>
      </c>
    </row>
    <row r="63" spans="1:13" x14ac:dyDescent="0.25">
      <c r="A63" s="1">
        <f t="shared" ca="1" si="1"/>
        <v>45910</v>
      </c>
      <c r="B63" cm="1">
        <f t="array" aca="1" ref="B63" ca="1">_xlfn.XLOOKUP(TEXT(A63, "mmm-yy"), TEXT([1]Monthly!$C:$C, "mmm-yy"), [1]Monthly!$O:$O, "Not Found")</f>
        <v>65.745557982241166</v>
      </c>
      <c r="C63" cm="1">
        <f t="array" aca="1" ref="C63" ca="1">_xlfn.XLOOKUP(TEXT(A63, "mmm-yy"), TEXT([1]Monthly!$C:$C, "mmm-yy"), [1]Monthly!$P:$P, "Not Found")</f>
        <v>65.933943461310818</v>
      </c>
      <c r="D63" cm="1">
        <f t="array" aca="1" ref="D63" ca="1">_xlfn.XLOOKUP(TEXT(A63, "mmm-yy"), TEXT([1]Monthly!$C:$C, "mmm-yy"), [1]Monthly!$R:$R, "Not Found")</f>
        <v>61.466594799402699</v>
      </c>
      <c r="E63" cm="1">
        <f t="array" aca="1" ref="E63" ca="1">_xlfn.XLOOKUP(TEXT(A63, "mmm-yy"), TEXT([1]Monthly!$C:$C, "mmm-yy"), [1]Monthly!$S:$S, "Not Found")</f>
        <v>72.165557982241168</v>
      </c>
      <c r="F63" cm="1">
        <f t="array" aca="1" ref="F63" ca="1">_xlfn.XLOOKUP(TEXT(A63, "mmm-yy"), TEXT([2]RUNS!$B$5:$B$208, "mmm-yy"), [2]RUNS!$D$5:$D$208, "Not Found")</f>
        <v>30649.067639677844</v>
      </c>
      <c r="G63">
        <f>AVERAGE([3]Sheet1!$H2285,[3]Sheet1!$H2547)</f>
        <v>12449</v>
      </c>
      <c r="H63">
        <f>AVERAGE([3]Sheet1!$I2285,[3]Sheet1!$I2547)</f>
        <v>0.48499999999999943</v>
      </c>
      <c r="I63" cm="1">
        <f t="array" aca="1" ref="I63" ca="1">_xlfn.XLOOKUP(TEXT(A63, "mmm-yy"), TEXT([2]GASOLINE!$B$5:$B$208, "mmm-yy"), [2]GASOLINE!$IR$5:$IR$208, "Not Found")</f>
        <v>-327.55589049834299</v>
      </c>
      <c r="J63" cm="1">
        <f t="array" aca="1" ref="J63" ca="1">_xlfn.XLOOKUP(TEXT(A63, "mmm-yy"), TEXT([2]GASOLINE!$B$5:$B$208, "mmm-yy"), [2]GASOLINE!$IK$5:$IK$208, "Not Found")</f>
        <v>315.59572279560928</v>
      </c>
      <c r="K63">
        <f t="shared" ca="1" si="0"/>
        <v>1</v>
      </c>
      <c r="L63" cm="1">
        <f t="array" aca="1" ref="L63" ca="1">_xlfn.XLOOKUP(TEXT(A63, "mmm-yy"), TEXT([2]GASOLINE!$B$5:$B$208, "mmm-yy"), [2]GASOLINE!$C$5:$C$208, "Not Found")</f>
        <v>7882.5775308994744</v>
      </c>
      <c r="M63" cm="1">
        <f t="array" aca="1" ref="M63" ca="1">_xlfn.XLOOKUP(TEXT(A63, "mmm-yy"), TEXT([2]RUNS!$B$5:$B$208, "mmm-yy"), [2]RUNS!$BM$5:$BM$208, "Not Found")</f>
        <v>0.82082818163425675</v>
      </c>
    </row>
    <row r="64" spans="1:13" x14ac:dyDescent="0.25">
      <c r="A64" s="1">
        <f t="shared" ca="1" si="1"/>
        <v>45911</v>
      </c>
      <c r="B64" cm="1">
        <f t="array" aca="1" ref="B64" ca="1">_xlfn.XLOOKUP(TEXT(A64, "mmm-yy"), TEXT([1]Monthly!$C:$C, "mmm-yy"), [1]Monthly!$O:$O, "Not Found")</f>
        <v>65.745557982241166</v>
      </c>
      <c r="C64" cm="1">
        <f t="array" aca="1" ref="C64" ca="1">_xlfn.XLOOKUP(TEXT(A64, "mmm-yy"), TEXT([1]Monthly!$C:$C, "mmm-yy"), [1]Monthly!$P:$P, "Not Found")</f>
        <v>65.933943461310818</v>
      </c>
      <c r="D64" cm="1">
        <f t="array" aca="1" ref="D64" ca="1">_xlfn.XLOOKUP(TEXT(A64, "mmm-yy"), TEXT([1]Monthly!$C:$C, "mmm-yy"), [1]Monthly!$R:$R, "Not Found")</f>
        <v>61.466594799402699</v>
      </c>
      <c r="E64" cm="1">
        <f t="array" aca="1" ref="E64" ca="1">_xlfn.XLOOKUP(TEXT(A64, "mmm-yy"), TEXT([1]Monthly!$C:$C, "mmm-yy"), [1]Monthly!$S:$S, "Not Found")</f>
        <v>72.165557982241168</v>
      </c>
      <c r="F64" cm="1">
        <f t="array" aca="1" ref="F64" ca="1">_xlfn.XLOOKUP(TEXT(A64, "mmm-yy"), TEXT([2]RUNS!$B$5:$B$208, "mmm-yy"), [2]RUNS!$D$5:$D$208, "Not Found")</f>
        <v>30649.067639677844</v>
      </c>
      <c r="G64">
        <f>AVERAGE([3]Sheet1!$H2286,[3]Sheet1!$H2548)</f>
        <v>12449</v>
      </c>
      <c r="H64">
        <f>AVERAGE([3]Sheet1!$I2286,[3]Sheet1!$I2548)</f>
        <v>0.48999999999999488</v>
      </c>
      <c r="I64" cm="1">
        <f t="array" aca="1" ref="I64" ca="1">_xlfn.XLOOKUP(TEXT(A64, "mmm-yy"), TEXT([2]GASOLINE!$B$5:$B$208, "mmm-yy"), [2]GASOLINE!$IR$5:$IR$208, "Not Found")</f>
        <v>-327.55589049834299</v>
      </c>
      <c r="J64" cm="1">
        <f t="array" aca="1" ref="J64" ca="1">_xlfn.XLOOKUP(TEXT(A64, "mmm-yy"), TEXT([2]GASOLINE!$B$5:$B$208, "mmm-yy"), [2]GASOLINE!$IK$5:$IK$208, "Not Found")</f>
        <v>315.59572279560928</v>
      </c>
      <c r="K64">
        <f t="shared" ca="1" si="0"/>
        <v>1</v>
      </c>
      <c r="L64" cm="1">
        <f t="array" aca="1" ref="L64" ca="1">_xlfn.XLOOKUP(TEXT(A64, "mmm-yy"), TEXT([2]GASOLINE!$B$5:$B$208, "mmm-yy"), [2]GASOLINE!$C$5:$C$208, "Not Found")</f>
        <v>7882.5775308994744</v>
      </c>
      <c r="M64" cm="1">
        <f t="array" aca="1" ref="M64" ca="1">_xlfn.XLOOKUP(TEXT(A64, "mmm-yy"), TEXT([2]RUNS!$B$5:$B$208, "mmm-yy"), [2]RUNS!$BM$5:$BM$208, "Not Found")</f>
        <v>0.82082818163425675</v>
      </c>
    </row>
    <row r="65" spans="1:13" x14ac:dyDescent="0.25">
      <c r="A65" s="1">
        <f t="shared" ca="1" si="1"/>
        <v>45912</v>
      </c>
      <c r="B65" cm="1">
        <f t="array" aca="1" ref="B65" ca="1">_xlfn.XLOOKUP(TEXT(A65, "mmm-yy"), TEXT([1]Monthly!$C:$C, "mmm-yy"), [1]Monthly!$O:$O, "Not Found")</f>
        <v>65.745557982241166</v>
      </c>
      <c r="C65" cm="1">
        <f t="array" aca="1" ref="C65" ca="1">_xlfn.XLOOKUP(TEXT(A65, "mmm-yy"), TEXT([1]Monthly!$C:$C, "mmm-yy"), [1]Monthly!$P:$P, "Not Found")</f>
        <v>65.933943461310818</v>
      </c>
      <c r="D65" cm="1">
        <f t="array" aca="1" ref="D65" ca="1">_xlfn.XLOOKUP(TEXT(A65, "mmm-yy"), TEXT([1]Monthly!$C:$C, "mmm-yy"), [1]Monthly!$R:$R, "Not Found")</f>
        <v>61.466594799402699</v>
      </c>
      <c r="E65" cm="1">
        <f t="array" aca="1" ref="E65" ca="1">_xlfn.XLOOKUP(TEXT(A65, "mmm-yy"), TEXT([1]Monthly!$C:$C, "mmm-yy"), [1]Monthly!$S:$S, "Not Found")</f>
        <v>72.165557982241168</v>
      </c>
      <c r="F65" cm="1">
        <f t="array" aca="1" ref="F65" ca="1">_xlfn.XLOOKUP(TEXT(A65, "mmm-yy"), TEXT([2]RUNS!$B$5:$B$208, "mmm-yy"), [2]RUNS!$D$5:$D$208, "Not Found")</f>
        <v>30649.067639677844</v>
      </c>
      <c r="G65">
        <f>AVERAGE([3]Sheet1!$H2287,[3]Sheet1!$H2549)</f>
        <v>12449</v>
      </c>
      <c r="H65">
        <f>AVERAGE([3]Sheet1!$I2287,[3]Sheet1!$I2549)</f>
        <v>0.46499999999999631</v>
      </c>
      <c r="I65" cm="1">
        <f t="array" aca="1" ref="I65" ca="1">_xlfn.XLOOKUP(TEXT(A65, "mmm-yy"), TEXT([2]GASOLINE!$B$5:$B$208, "mmm-yy"), [2]GASOLINE!$IR$5:$IR$208, "Not Found")</f>
        <v>-327.55589049834299</v>
      </c>
      <c r="J65" cm="1">
        <f t="array" aca="1" ref="J65" ca="1">_xlfn.XLOOKUP(TEXT(A65, "mmm-yy"), TEXT([2]GASOLINE!$B$5:$B$208, "mmm-yy"), [2]GASOLINE!$IK$5:$IK$208, "Not Found")</f>
        <v>315.59572279560928</v>
      </c>
      <c r="K65">
        <f t="shared" ca="1" si="0"/>
        <v>1</v>
      </c>
      <c r="L65" cm="1">
        <f t="array" aca="1" ref="L65" ca="1">_xlfn.XLOOKUP(TEXT(A65, "mmm-yy"), TEXT([2]GASOLINE!$B$5:$B$208, "mmm-yy"), [2]GASOLINE!$C$5:$C$208, "Not Found")</f>
        <v>7882.5775308994744</v>
      </c>
      <c r="M65" cm="1">
        <f t="array" aca="1" ref="M65" ca="1">_xlfn.XLOOKUP(TEXT(A65, "mmm-yy"), TEXT([2]RUNS!$B$5:$B$208, "mmm-yy"), [2]RUNS!$BM$5:$BM$208, "Not Found")</f>
        <v>0.82082818163425675</v>
      </c>
    </row>
    <row r="66" spans="1:13" x14ac:dyDescent="0.25">
      <c r="A66" s="1">
        <f t="shared" ca="1" si="1"/>
        <v>45913</v>
      </c>
      <c r="B66" cm="1">
        <f t="array" aca="1" ref="B66" ca="1">_xlfn.XLOOKUP(TEXT(A66, "mmm-yy"), TEXT([1]Monthly!$C:$C, "mmm-yy"), [1]Monthly!$O:$O, "Not Found")</f>
        <v>65.745557982241166</v>
      </c>
      <c r="C66" cm="1">
        <f t="array" aca="1" ref="C66" ca="1">_xlfn.XLOOKUP(TEXT(A66, "mmm-yy"), TEXT([1]Monthly!$C:$C, "mmm-yy"), [1]Monthly!$P:$P, "Not Found")</f>
        <v>65.933943461310818</v>
      </c>
      <c r="D66" cm="1">
        <f t="array" aca="1" ref="D66" ca="1">_xlfn.XLOOKUP(TEXT(A66, "mmm-yy"), TEXT([1]Monthly!$C:$C, "mmm-yy"), [1]Monthly!$R:$R, "Not Found")</f>
        <v>61.466594799402699</v>
      </c>
      <c r="E66" cm="1">
        <f t="array" aca="1" ref="E66" ca="1">_xlfn.XLOOKUP(TEXT(A66, "mmm-yy"), TEXT([1]Monthly!$C:$C, "mmm-yy"), [1]Monthly!$S:$S, "Not Found")</f>
        <v>72.165557982241168</v>
      </c>
      <c r="F66" cm="1">
        <f t="array" aca="1" ref="F66" ca="1">_xlfn.XLOOKUP(TEXT(A66, "mmm-yy"), TEXT([2]RUNS!$B$5:$B$208, "mmm-yy"), [2]RUNS!$D$5:$D$208, "Not Found")</f>
        <v>30649.067639677844</v>
      </c>
      <c r="G66">
        <f>AVERAGE([3]Sheet1!$H2288,[3]Sheet1!$H2550)</f>
        <v>12449</v>
      </c>
      <c r="H66">
        <f>AVERAGE([3]Sheet1!$I2288,[3]Sheet1!$I2550)</f>
        <v>0.625</v>
      </c>
      <c r="I66" cm="1">
        <f t="array" aca="1" ref="I66" ca="1">_xlfn.XLOOKUP(TEXT(A66, "mmm-yy"), TEXT([2]GASOLINE!$B$5:$B$208, "mmm-yy"), [2]GASOLINE!$IR$5:$IR$208, "Not Found")</f>
        <v>-327.55589049834299</v>
      </c>
      <c r="J66" cm="1">
        <f t="array" aca="1" ref="J66" ca="1">_xlfn.XLOOKUP(TEXT(A66, "mmm-yy"), TEXT([2]GASOLINE!$B$5:$B$208, "mmm-yy"), [2]GASOLINE!$IK$5:$IK$208, "Not Found")</f>
        <v>315.59572279560928</v>
      </c>
      <c r="K66">
        <f t="shared" ca="1" si="0"/>
        <v>1</v>
      </c>
      <c r="L66" cm="1">
        <f t="array" aca="1" ref="L66" ca="1">_xlfn.XLOOKUP(TEXT(A66, "mmm-yy"), TEXT([2]GASOLINE!$B$5:$B$208, "mmm-yy"), [2]GASOLINE!$C$5:$C$208, "Not Found")</f>
        <v>7882.5775308994744</v>
      </c>
      <c r="M66" cm="1">
        <f t="array" aca="1" ref="M66" ca="1">_xlfn.XLOOKUP(TEXT(A66, "mmm-yy"), TEXT([2]RUNS!$B$5:$B$208, "mmm-yy"), [2]RUNS!$BM$5:$BM$208, "Not Found")</f>
        <v>0.82082818163425675</v>
      </c>
    </row>
    <row r="67" spans="1:13" x14ac:dyDescent="0.25">
      <c r="A67" s="1">
        <f ca="1">A66+1</f>
        <v>45914</v>
      </c>
      <c r="B67" cm="1">
        <f t="array" aca="1" ref="B67" ca="1">_xlfn.XLOOKUP(TEXT(A67, "mmm-yy"), TEXT([1]Monthly!$C:$C, "mmm-yy"), [1]Monthly!$O:$O, "Not Found")</f>
        <v>65.745557982241166</v>
      </c>
      <c r="C67" cm="1">
        <f t="array" aca="1" ref="C67" ca="1">_xlfn.XLOOKUP(TEXT(A67, "mmm-yy"), TEXT([1]Monthly!$C:$C, "mmm-yy"), [1]Monthly!$P:$P, "Not Found")</f>
        <v>65.933943461310818</v>
      </c>
      <c r="D67" cm="1">
        <f t="array" aca="1" ref="D67" ca="1">_xlfn.XLOOKUP(TEXT(A67, "mmm-yy"), TEXT([1]Monthly!$C:$C, "mmm-yy"), [1]Monthly!$R:$R, "Not Found")</f>
        <v>61.466594799402699</v>
      </c>
      <c r="E67" cm="1">
        <f t="array" aca="1" ref="E67" ca="1">_xlfn.XLOOKUP(TEXT(A67, "mmm-yy"), TEXT([1]Monthly!$C:$C, "mmm-yy"), [1]Monthly!$S:$S, "Not Found")</f>
        <v>72.165557982241168</v>
      </c>
      <c r="F67" cm="1">
        <f t="array" aca="1" ref="F67" ca="1">_xlfn.XLOOKUP(TEXT(A67, "mmm-yy"), TEXT([2]RUNS!$B$5:$B$208, "mmm-yy"), [2]RUNS!$D$5:$D$208, "Not Found")</f>
        <v>30649.067639677844</v>
      </c>
      <c r="G67">
        <f>AVERAGE([3]Sheet1!$H2289,[3]Sheet1!$H2551)</f>
        <v>12449</v>
      </c>
      <c r="H67">
        <f>AVERAGE([3]Sheet1!$I2289,[3]Sheet1!$I2551)</f>
        <v>0.79999999999999716</v>
      </c>
      <c r="I67" cm="1">
        <f t="array" aca="1" ref="I67" ca="1">_xlfn.XLOOKUP(TEXT(A67, "mmm-yy"), TEXT([2]GASOLINE!$B$5:$B$208, "mmm-yy"), [2]GASOLINE!$IR$5:$IR$208, "Not Found")</f>
        <v>-327.55589049834299</v>
      </c>
      <c r="J67" cm="1">
        <f t="array" aca="1" ref="J67" ca="1">_xlfn.XLOOKUP(TEXT(A67, "mmm-yy"), TEXT([2]GASOLINE!$B$5:$B$208, "mmm-yy"), [2]GASOLINE!$IK$5:$IK$208, "Not Found")</f>
        <v>315.59572279560928</v>
      </c>
      <c r="K67">
        <f t="shared" ref="K67:K130" ca="1" si="2">IF(OR(MONTH(A67)=6, MONTH(A67)=7, MONTH(A67)=8, MONTH(A67)=9), 1, 0)</f>
        <v>1</v>
      </c>
      <c r="L67" cm="1">
        <f t="array" aca="1" ref="L67" ca="1">_xlfn.XLOOKUP(TEXT(A67, "mmm-yy"), TEXT([2]GASOLINE!$B$5:$B$208, "mmm-yy"), [2]GASOLINE!$C$5:$C$208, "Not Found")</f>
        <v>7882.5775308994744</v>
      </c>
      <c r="M67" cm="1">
        <f t="array" aca="1" ref="M67" ca="1">_xlfn.XLOOKUP(TEXT(A67, "mmm-yy"), TEXT([2]RUNS!$B$5:$B$208, "mmm-yy"), [2]RUNS!$BM$5:$BM$208, "Not Found")</f>
        <v>0.82082818163425675</v>
      </c>
    </row>
    <row r="68" spans="1:13" x14ac:dyDescent="0.25">
      <c r="A68" s="1">
        <f t="shared" ca="1" si="1"/>
        <v>45915</v>
      </c>
      <c r="B68" cm="1">
        <f t="array" aca="1" ref="B68" ca="1">_xlfn.XLOOKUP(TEXT(A68, "mmm-yy"), TEXT([1]Monthly!$C:$C, "mmm-yy"), [1]Monthly!$O:$O, "Not Found")</f>
        <v>65.745557982241166</v>
      </c>
      <c r="C68" cm="1">
        <f t="array" aca="1" ref="C68" ca="1">_xlfn.XLOOKUP(TEXT(A68, "mmm-yy"), TEXT([1]Monthly!$C:$C, "mmm-yy"), [1]Monthly!$P:$P, "Not Found")</f>
        <v>65.933943461310818</v>
      </c>
      <c r="D68" cm="1">
        <f t="array" aca="1" ref="D68" ca="1">_xlfn.XLOOKUP(TEXT(A68, "mmm-yy"), TEXT([1]Monthly!$C:$C, "mmm-yy"), [1]Monthly!$R:$R, "Not Found")</f>
        <v>61.466594799402699</v>
      </c>
      <c r="E68" cm="1">
        <f t="array" aca="1" ref="E68" ca="1">_xlfn.XLOOKUP(TEXT(A68, "mmm-yy"), TEXT([1]Monthly!$C:$C, "mmm-yy"), [1]Monthly!$S:$S, "Not Found")</f>
        <v>72.165557982241168</v>
      </c>
      <c r="F68" cm="1">
        <f t="array" aca="1" ref="F68" ca="1">_xlfn.XLOOKUP(TEXT(A68, "mmm-yy"), TEXT([2]RUNS!$B$5:$B$208, "mmm-yy"), [2]RUNS!$D$5:$D$208, "Not Found")</f>
        <v>30649.067639677844</v>
      </c>
      <c r="G68">
        <f>AVERAGE([3]Sheet1!$H2290,[3]Sheet1!$H2552)</f>
        <v>12449</v>
      </c>
      <c r="H68">
        <f>AVERAGE([3]Sheet1!$I2290,[3]Sheet1!$I2552)</f>
        <v>0.75</v>
      </c>
      <c r="I68" cm="1">
        <f t="array" aca="1" ref="I68" ca="1">_xlfn.XLOOKUP(TEXT(A68, "mmm-yy"), TEXT([2]GASOLINE!$B$5:$B$208, "mmm-yy"), [2]GASOLINE!$IR$5:$IR$208, "Not Found")</f>
        <v>-327.55589049834299</v>
      </c>
      <c r="J68" cm="1">
        <f t="array" aca="1" ref="J68" ca="1">_xlfn.XLOOKUP(TEXT(A68, "mmm-yy"), TEXT([2]GASOLINE!$B$5:$B$208, "mmm-yy"), [2]GASOLINE!$IK$5:$IK$208, "Not Found")</f>
        <v>315.59572279560928</v>
      </c>
      <c r="K68">
        <f t="shared" ca="1" si="2"/>
        <v>1</v>
      </c>
      <c r="L68" cm="1">
        <f t="array" aca="1" ref="L68" ca="1">_xlfn.XLOOKUP(TEXT(A68, "mmm-yy"), TEXT([2]GASOLINE!$B$5:$B$208, "mmm-yy"), [2]GASOLINE!$C$5:$C$208, "Not Found")</f>
        <v>7882.5775308994744</v>
      </c>
      <c r="M68" cm="1">
        <f t="array" aca="1" ref="M68" ca="1">_xlfn.XLOOKUP(TEXT(A68, "mmm-yy"), TEXT([2]RUNS!$B$5:$B$208, "mmm-yy"), [2]RUNS!$BM$5:$BM$208, "Not Found")</f>
        <v>0.82082818163425675</v>
      </c>
    </row>
    <row r="69" spans="1:13" x14ac:dyDescent="0.25">
      <c r="A69" s="1">
        <f t="shared" ref="A69:A132" ca="1" si="3">A68+1</f>
        <v>45916</v>
      </c>
      <c r="B69" cm="1">
        <f t="array" aca="1" ref="B69" ca="1">_xlfn.XLOOKUP(TEXT(A69, "mmm-yy"), TEXT([1]Monthly!$C:$C, "mmm-yy"), [1]Monthly!$O:$O, "Not Found")</f>
        <v>65.745557982241166</v>
      </c>
      <c r="C69" cm="1">
        <f t="array" aca="1" ref="C69" ca="1">_xlfn.XLOOKUP(TEXT(A69, "mmm-yy"), TEXT([1]Monthly!$C:$C, "mmm-yy"), [1]Monthly!$P:$P, "Not Found")</f>
        <v>65.933943461310818</v>
      </c>
      <c r="D69" cm="1">
        <f t="array" aca="1" ref="D69" ca="1">_xlfn.XLOOKUP(TEXT(A69, "mmm-yy"), TEXT([1]Monthly!$C:$C, "mmm-yy"), [1]Monthly!$R:$R, "Not Found")</f>
        <v>61.466594799402699</v>
      </c>
      <c r="E69" cm="1">
        <f t="array" aca="1" ref="E69" ca="1">_xlfn.XLOOKUP(TEXT(A69, "mmm-yy"), TEXT([1]Monthly!$C:$C, "mmm-yy"), [1]Monthly!$S:$S, "Not Found")</f>
        <v>72.165557982241168</v>
      </c>
      <c r="F69" cm="1">
        <f t="array" aca="1" ref="F69" ca="1">_xlfn.XLOOKUP(TEXT(A69, "mmm-yy"), TEXT([2]RUNS!$B$5:$B$208, "mmm-yy"), [2]RUNS!$D$5:$D$208, "Not Found")</f>
        <v>30649.067639677844</v>
      </c>
      <c r="G69">
        <f>AVERAGE([3]Sheet1!$H2291,[3]Sheet1!$H2553)</f>
        <v>12449</v>
      </c>
      <c r="H69">
        <f>AVERAGE([3]Sheet1!$I2291,[3]Sheet1!$I2553)</f>
        <v>0.80999999999999517</v>
      </c>
      <c r="I69" cm="1">
        <f t="array" aca="1" ref="I69" ca="1">_xlfn.XLOOKUP(TEXT(A69, "mmm-yy"), TEXT([2]GASOLINE!$B$5:$B$208, "mmm-yy"), [2]GASOLINE!$IR$5:$IR$208, "Not Found")</f>
        <v>-327.55589049834299</v>
      </c>
      <c r="J69" cm="1">
        <f t="array" aca="1" ref="J69" ca="1">_xlfn.XLOOKUP(TEXT(A69, "mmm-yy"), TEXT([2]GASOLINE!$B$5:$B$208, "mmm-yy"), [2]GASOLINE!$IK$5:$IK$208, "Not Found")</f>
        <v>315.59572279560928</v>
      </c>
      <c r="K69">
        <f t="shared" ca="1" si="2"/>
        <v>1</v>
      </c>
      <c r="L69" cm="1">
        <f t="array" aca="1" ref="L69" ca="1">_xlfn.XLOOKUP(TEXT(A69, "mmm-yy"), TEXT([2]GASOLINE!$B$5:$B$208, "mmm-yy"), [2]GASOLINE!$C$5:$C$208, "Not Found")</f>
        <v>7882.5775308994744</v>
      </c>
      <c r="M69" cm="1">
        <f t="array" aca="1" ref="M69" ca="1">_xlfn.XLOOKUP(TEXT(A69, "mmm-yy"), TEXT([2]RUNS!$B$5:$B$208, "mmm-yy"), [2]RUNS!$BM$5:$BM$208, "Not Found")</f>
        <v>0.82082818163425675</v>
      </c>
    </row>
    <row r="70" spans="1:13" x14ac:dyDescent="0.25">
      <c r="A70" s="1">
        <f t="shared" ca="1" si="3"/>
        <v>45917</v>
      </c>
      <c r="B70" cm="1">
        <f t="array" aca="1" ref="B70" ca="1">_xlfn.XLOOKUP(TEXT(A70, "mmm-yy"), TEXT([1]Monthly!$C:$C, "mmm-yy"), [1]Monthly!$O:$O, "Not Found")</f>
        <v>65.745557982241166</v>
      </c>
      <c r="C70" cm="1">
        <f t="array" aca="1" ref="C70" ca="1">_xlfn.XLOOKUP(TEXT(A70, "mmm-yy"), TEXT([1]Monthly!$C:$C, "mmm-yy"), [1]Monthly!$P:$P, "Not Found")</f>
        <v>65.933943461310818</v>
      </c>
      <c r="D70" cm="1">
        <f t="array" aca="1" ref="D70" ca="1">_xlfn.XLOOKUP(TEXT(A70, "mmm-yy"), TEXT([1]Monthly!$C:$C, "mmm-yy"), [1]Monthly!$R:$R, "Not Found")</f>
        <v>61.466594799402699</v>
      </c>
      <c r="E70" cm="1">
        <f t="array" aca="1" ref="E70" ca="1">_xlfn.XLOOKUP(TEXT(A70, "mmm-yy"), TEXT([1]Monthly!$C:$C, "mmm-yy"), [1]Monthly!$S:$S, "Not Found")</f>
        <v>72.165557982241168</v>
      </c>
      <c r="F70" cm="1">
        <f t="array" aca="1" ref="F70" ca="1">_xlfn.XLOOKUP(TEXT(A70, "mmm-yy"), TEXT([2]RUNS!$B$5:$B$208, "mmm-yy"), [2]RUNS!$D$5:$D$208, "Not Found")</f>
        <v>30649.067639677844</v>
      </c>
      <c r="G70">
        <f>AVERAGE([3]Sheet1!$H2292,[3]Sheet1!$H2554)</f>
        <v>12449</v>
      </c>
      <c r="H70">
        <f>AVERAGE([3]Sheet1!$I2292,[3]Sheet1!$I2554)</f>
        <v>0.78000000000000114</v>
      </c>
      <c r="I70" cm="1">
        <f t="array" aca="1" ref="I70" ca="1">_xlfn.XLOOKUP(TEXT(A70, "mmm-yy"), TEXT([2]GASOLINE!$B$5:$B$208, "mmm-yy"), [2]GASOLINE!$IR$5:$IR$208, "Not Found")</f>
        <v>-327.55589049834299</v>
      </c>
      <c r="J70" cm="1">
        <f t="array" aca="1" ref="J70" ca="1">_xlfn.XLOOKUP(TEXT(A70, "mmm-yy"), TEXT([2]GASOLINE!$B$5:$B$208, "mmm-yy"), [2]GASOLINE!$IK$5:$IK$208, "Not Found")</f>
        <v>315.59572279560928</v>
      </c>
      <c r="K70">
        <f t="shared" ca="1" si="2"/>
        <v>1</v>
      </c>
      <c r="L70" cm="1">
        <f t="array" aca="1" ref="L70" ca="1">_xlfn.XLOOKUP(TEXT(A70, "mmm-yy"), TEXT([2]GASOLINE!$B$5:$B$208, "mmm-yy"), [2]GASOLINE!$C$5:$C$208, "Not Found")</f>
        <v>7882.5775308994744</v>
      </c>
      <c r="M70" cm="1">
        <f t="array" aca="1" ref="M70" ca="1">_xlfn.XLOOKUP(TEXT(A70, "mmm-yy"), TEXT([2]RUNS!$B$5:$B$208, "mmm-yy"), [2]RUNS!$BM$5:$BM$208, "Not Found")</f>
        <v>0.82082818163425675</v>
      </c>
    </row>
    <row r="71" spans="1:13" x14ac:dyDescent="0.25">
      <c r="A71" s="1">
        <f t="shared" ca="1" si="3"/>
        <v>45918</v>
      </c>
      <c r="B71" cm="1">
        <f t="array" aca="1" ref="B71" ca="1">_xlfn.XLOOKUP(TEXT(A71, "mmm-yy"), TEXT([1]Monthly!$C:$C, "mmm-yy"), [1]Monthly!$O:$O, "Not Found")</f>
        <v>65.745557982241166</v>
      </c>
      <c r="C71" cm="1">
        <f t="array" aca="1" ref="C71" ca="1">_xlfn.XLOOKUP(TEXT(A71, "mmm-yy"), TEXT([1]Monthly!$C:$C, "mmm-yy"), [1]Monthly!$P:$P, "Not Found")</f>
        <v>65.933943461310818</v>
      </c>
      <c r="D71" cm="1">
        <f t="array" aca="1" ref="D71" ca="1">_xlfn.XLOOKUP(TEXT(A71, "mmm-yy"), TEXT([1]Monthly!$C:$C, "mmm-yy"), [1]Monthly!$R:$R, "Not Found")</f>
        <v>61.466594799402699</v>
      </c>
      <c r="E71" cm="1">
        <f t="array" aca="1" ref="E71" ca="1">_xlfn.XLOOKUP(TEXT(A71, "mmm-yy"), TEXT([1]Monthly!$C:$C, "mmm-yy"), [1]Monthly!$S:$S, "Not Found")</f>
        <v>72.165557982241168</v>
      </c>
      <c r="F71" cm="1">
        <f t="array" aca="1" ref="F71" ca="1">_xlfn.XLOOKUP(TEXT(A71, "mmm-yy"), TEXT([2]RUNS!$B$5:$B$208, "mmm-yy"), [2]RUNS!$D$5:$D$208, "Not Found")</f>
        <v>30649.067639677844</v>
      </c>
      <c r="G71">
        <f>AVERAGE([3]Sheet1!$H2293,[3]Sheet1!$H2555)</f>
        <v>12449</v>
      </c>
      <c r="H71">
        <f>AVERAGE([3]Sheet1!$I2293,[3]Sheet1!$I2555)</f>
        <v>0.60999999999999233</v>
      </c>
      <c r="I71" cm="1">
        <f t="array" aca="1" ref="I71" ca="1">_xlfn.XLOOKUP(TEXT(A71, "mmm-yy"), TEXT([2]GASOLINE!$B$5:$B$208, "mmm-yy"), [2]GASOLINE!$IR$5:$IR$208, "Not Found")</f>
        <v>-327.55589049834299</v>
      </c>
      <c r="J71" cm="1">
        <f t="array" aca="1" ref="J71" ca="1">_xlfn.XLOOKUP(TEXT(A71, "mmm-yy"), TEXT([2]GASOLINE!$B$5:$B$208, "mmm-yy"), [2]GASOLINE!$IK$5:$IK$208, "Not Found")</f>
        <v>315.59572279560928</v>
      </c>
      <c r="K71">
        <f t="shared" ca="1" si="2"/>
        <v>1</v>
      </c>
      <c r="L71" cm="1">
        <f t="array" aca="1" ref="L71" ca="1">_xlfn.XLOOKUP(TEXT(A71, "mmm-yy"), TEXT([2]GASOLINE!$B$5:$B$208, "mmm-yy"), [2]GASOLINE!$C$5:$C$208, "Not Found")</f>
        <v>7882.5775308994744</v>
      </c>
      <c r="M71" cm="1">
        <f t="array" aca="1" ref="M71" ca="1">_xlfn.XLOOKUP(TEXT(A71, "mmm-yy"), TEXT([2]RUNS!$B$5:$B$208, "mmm-yy"), [2]RUNS!$BM$5:$BM$208, "Not Found")</f>
        <v>0.82082818163425675</v>
      </c>
    </row>
    <row r="72" spans="1:13" x14ac:dyDescent="0.25">
      <c r="A72" s="1">
        <f t="shared" ca="1" si="3"/>
        <v>45919</v>
      </c>
      <c r="B72" cm="1">
        <f t="array" aca="1" ref="B72" ca="1">_xlfn.XLOOKUP(TEXT(A72, "mmm-yy"), TEXT([1]Monthly!$C:$C, "mmm-yy"), [1]Monthly!$O:$O, "Not Found")</f>
        <v>65.745557982241166</v>
      </c>
      <c r="C72" cm="1">
        <f t="array" aca="1" ref="C72" ca="1">_xlfn.XLOOKUP(TEXT(A72, "mmm-yy"), TEXT([1]Monthly!$C:$C, "mmm-yy"), [1]Monthly!$P:$P, "Not Found")</f>
        <v>65.933943461310818</v>
      </c>
      <c r="D72" cm="1">
        <f t="array" aca="1" ref="D72" ca="1">_xlfn.XLOOKUP(TEXT(A72, "mmm-yy"), TEXT([1]Monthly!$C:$C, "mmm-yy"), [1]Monthly!$R:$R, "Not Found")</f>
        <v>61.466594799402699</v>
      </c>
      <c r="E72" cm="1">
        <f t="array" aca="1" ref="E72" ca="1">_xlfn.XLOOKUP(TEXT(A72, "mmm-yy"), TEXT([1]Monthly!$C:$C, "mmm-yy"), [1]Monthly!$S:$S, "Not Found")</f>
        <v>72.165557982241168</v>
      </c>
      <c r="F72" cm="1">
        <f t="array" aca="1" ref="F72" ca="1">_xlfn.XLOOKUP(TEXT(A72, "mmm-yy"), TEXT([2]RUNS!$B$5:$B$208, "mmm-yy"), [2]RUNS!$D$5:$D$208, "Not Found")</f>
        <v>30649.067639677844</v>
      </c>
      <c r="G72">
        <f>AVERAGE([3]Sheet1!$H2294,[3]Sheet1!$H2556)</f>
        <v>12449</v>
      </c>
      <c r="H72">
        <f>AVERAGE([3]Sheet1!$I2294,[3]Sheet1!$I2556)</f>
        <v>0.79999999999999716</v>
      </c>
      <c r="I72" cm="1">
        <f t="array" aca="1" ref="I72" ca="1">_xlfn.XLOOKUP(TEXT(A72, "mmm-yy"), TEXT([2]GASOLINE!$B$5:$B$208, "mmm-yy"), [2]GASOLINE!$IR$5:$IR$208, "Not Found")</f>
        <v>-327.55589049834299</v>
      </c>
      <c r="J72" cm="1">
        <f t="array" aca="1" ref="J72" ca="1">_xlfn.XLOOKUP(TEXT(A72, "mmm-yy"), TEXT([2]GASOLINE!$B$5:$B$208, "mmm-yy"), [2]GASOLINE!$IK$5:$IK$208, "Not Found")</f>
        <v>315.59572279560928</v>
      </c>
      <c r="K72">
        <f t="shared" ca="1" si="2"/>
        <v>1</v>
      </c>
      <c r="L72" cm="1">
        <f t="array" aca="1" ref="L72" ca="1">_xlfn.XLOOKUP(TEXT(A72, "mmm-yy"), TEXT([2]GASOLINE!$B$5:$B$208, "mmm-yy"), [2]GASOLINE!$C$5:$C$208, "Not Found")</f>
        <v>7882.5775308994744</v>
      </c>
      <c r="M72" cm="1">
        <f t="array" aca="1" ref="M72" ca="1">_xlfn.XLOOKUP(TEXT(A72, "mmm-yy"), TEXT([2]RUNS!$B$5:$B$208, "mmm-yy"), [2]RUNS!$BM$5:$BM$208, "Not Found")</f>
        <v>0.82082818163425675</v>
      </c>
    </row>
    <row r="73" spans="1:13" x14ac:dyDescent="0.25">
      <c r="A73" s="1">
        <f t="shared" ca="1" si="3"/>
        <v>45920</v>
      </c>
      <c r="B73" cm="1">
        <f t="array" aca="1" ref="B73" ca="1">_xlfn.XLOOKUP(TEXT(A73, "mmm-yy"), TEXT([1]Monthly!$C:$C, "mmm-yy"), [1]Monthly!$O:$O, "Not Found")</f>
        <v>65.745557982241166</v>
      </c>
      <c r="C73" cm="1">
        <f t="array" aca="1" ref="C73" ca="1">_xlfn.XLOOKUP(TEXT(A73, "mmm-yy"), TEXT([1]Monthly!$C:$C, "mmm-yy"), [1]Monthly!$P:$P, "Not Found")</f>
        <v>65.933943461310818</v>
      </c>
      <c r="D73" cm="1">
        <f t="array" aca="1" ref="D73" ca="1">_xlfn.XLOOKUP(TEXT(A73, "mmm-yy"), TEXT([1]Monthly!$C:$C, "mmm-yy"), [1]Monthly!$R:$R, "Not Found")</f>
        <v>61.466594799402699</v>
      </c>
      <c r="E73" cm="1">
        <f t="array" aca="1" ref="E73" ca="1">_xlfn.XLOOKUP(TEXT(A73, "mmm-yy"), TEXT([1]Monthly!$C:$C, "mmm-yy"), [1]Monthly!$S:$S, "Not Found")</f>
        <v>72.165557982241168</v>
      </c>
      <c r="F73" cm="1">
        <f t="array" aca="1" ref="F73" ca="1">_xlfn.XLOOKUP(TEXT(A73, "mmm-yy"), TEXT([2]RUNS!$B$5:$B$208, "mmm-yy"), [2]RUNS!$D$5:$D$208, "Not Found")</f>
        <v>30649.067639677844</v>
      </c>
      <c r="G73">
        <f>AVERAGE([3]Sheet1!$H2295,[3]Sheet1!$H2557)</f>
        <v>12449</v>
      </c>
      <c r="H73">
        <f>AVERAGE([3]Sheet1!$I2295,[3]Sheet1!$I2557)</f>
        <v>0.80000000000000426</v>
      </c>
      <c r="I73" cm="1">
        <f t="array" aca="1" ref="I73" ca="1">_xlfn.XLOOKUP(TEXT(A73, "mmm-yy"), TEXT([2]GASOLINE!$B$5:$B$208, "mmm-yy"), [2]GASOLINE!$IR$5:$IR$208, "Not Found")</f>
        <v>-327.55589049834299</v>
      </c>
      <c r="J73" cm="1">
        <f t="array" aca="1" ref="J73" ca="1">_xlfn.XLOOKUP(TEXT(A73, "mmm-yy"), TEXT([2]GASOLINE!$B$5:$B$208, "mmm-yy"), [2]GASOLINE!$IK$5:$IK$208, "Not Found")</f>
        <v>315.59572279560928</v>
      </c>
      <c r="K73">
        <f t="shared" ca="1" si="2"/>
        <v>1</v>
      </c>
      <c r="L73" cm="1">
        <f t="array" aca="1" ref="L73" ca="1">_xlfn.XLOOKUP(TEXT(A73, "mmm-yy"), TEXT([2]GASOLINE!$B$5:$B$208, "mmm-yy"), [2]GASOLINE!$C$5:$C$208, "Not Found")</f>
        <v>7882.5775308994744</v>
      </c>
      <c r="M73" cm="1">
        <f t="array" aca="1" ref="M73" ca="1">_xlfn.XLOOKUP(TEXT(A73, "mmm-yy"), TEXT([2]RUNS!$B$5:$B$208, "mmm-yy"), [2]RUNS!$BM$5:$BM$208, "Not Found")</f>
        <v>0.82082818163425675</v>
      </c>
    </row>
    <row r="74" spans="1:13" x14ac:dyDescent="0.25">
      <c r="A74" s="1">
        <f t="shared" ca="1" si="3"/>
        <v>45921</v>
      </c>
      <c r="B74" cm="1">
        <f t="array" aca="1" ref="B74" ca="1">_xlfn.XLOOKUP(TEXT(A74, "mmm-yy"), TEXT([1]Monthly!$C:$C, "mmm-yy"), [1]Monthly!$O:$O, "Not Found")</f>
        <v>65.745557982241166</v>
      </c>
      <c r="C74" cm="1">
        <f t="array" aca="1" ref="C74" ca="1">_xlfn.XLOOKUP(TEXT(A74, "mmm-yy"), TEXT([1]Monthly!$C:$C, "mmm-yy"), [1]Monthly!$P:$P, "Not Found")</f>
        <v>65.933943461310818</v>
      </c>
      <c r="D74" cm="1">
        <f t="array" aca="1" ref="D74" ca="1">_xlfn.XLOOKUP(TEXT(A74, "mmm-yy"), TEXT([1]Monthly!$C:$C, "mmm-yy"), [1]Monthly!$R:$R, "Not Found")</f>
        <v>61.466594799402699</v>
      </c>
      <c r="E74" cm="1">
        <f t="array" aca="1" ref="E74" ca="1">_xlfn.XLOOKUP(TEXT(A74, "mmm-yy"), TEXT([1]Monthly!$C:$C, "mmm-yy"), [1]Monthly!$S:$S, "Not Found")</f>
        <v>72.165557982241168</v>
      </c>
      <c r="F74" cm="1">
        <f t="array" aca="1" ref="F74" ca="1">_xlfn.XLOOKUP(TEXT(A74, "mmm-yy"), TEXT([2]RUNS!$B$5:$B$208, "mmm-yy"), [2]RUNS!$D$5:$D$208, "Not Found")</f>
        <v>30649.067639677844</v>
      </c>
      <c r="G74">
        <f>AVERAGE([3]Sheet1!$H2296,[3]Sheet1!$H2558)</f>
        <v>12449</v>
      </c>
      <c r="H74">
        <f>AVERAGE([3]Sheet1!$I2296,[3]Sheet1!$I2558)</f>
        <v>0.93500000000000227</v>
      </c>
      <c r="I74" cm="1">
        <f t="array" aca="1" ref="I74" ca="1">_xlfn.XLOOKUP(TEXT(A74, "mmm-yy"), TEXT([2]GASOLINE!$B$5:$B$208, "mmm-yy"), [2]GASOLINE!$IR$5:$IR$208, "Not Found")</f>
        <v>-327.55589049834299</v>
      </c>
      <c r="J74" cm="1">
        <f t="array" aca="1" ref="J74" ca="1">_xlfn.XLOOKUP(TEXT(A74, "mmm-yy"), TEXT([2]GASOLINE!$B$5:$B$208, "mmm-yy"), [2]GASOLINE!$IK$5:$IK$208, "Not Found")</f>
        <v>315.59572279560928</v>
      </c>
      <c r="K74">
        <f t="shared" ca="1" si="2"/>
        <v>1</v>
      </c>
      <c r="L74" cm="1">
        <f t="array" aca="1" ref="L74" ca="1">_xlfn.XLOOKUP(TEXT(A74, "mmm-yy"), TEXT([2]GASOLINE!$B$5:$B$208, "mmm-yy"), [2]GASOLINE!$C$5:$C$208, "Not Found")</f>
        <v>7882.5775308994744</v>
      </c>
      <c r="M74" cm="1">
        <f t="array" aca="1" ref="M74" ca="1">_xlfn.XLOOKUP(TEXT(A74, "mmm-yy"), TEXT([2]RUNS!$B$5:$B$208, "mmm-yy"), [2]RUNS!$BM$5:$BM$208, "Not Found")</f>
        <v>0.82082818163425675</v>
      </c>
    </row>
    <row r="75" spans="1:13" x14ac:dyDescent="0.25">
      <c r="A75" s="1">
        <f t="shared" ca="1" si="3"/>
        <v>45922</v>
      </c>
      <c r="B75" cm="1">
        <f t="array" aca="1" ref="B75" ca="1">_xlfn.XLOOKUP(TEXT(A75, "mmm-yy"), TEXT([1]Monthly!$C:$C, "mmm-yy"), [1]Monthly!$O:$O, "Not Found")</f>
        <v>65.745557982241166</v>
      </c>
      <c r="C75" cm="1">
        <f t="array" aca="1" ref="C75" ca="1">_xlfn.XLOOKUP(TEXT(A75, "mmm-yy"), TEXT([1]Monthly!$C:$C, "mmm-yy"), [1]Monthly!$P:$P, "Not Found")</f>
        <v>65.933943461310818</v>
      </c>
      <c r="D75" cm="1">
        <f t="array" aca="1" ref="D75" ca="1">_xlfn.XLOOKUP(TEXT(A75, "mmm-yy"), TEXT([1]Monthly!$C:$C, "mmm-yy"), [1]Monthly!$R:$R, "Not Found")</f>
        <v>61.466594799402699</v>
      </c>
      <c r="E75" cm="1">
        <f t="array" aca="1" ref="E75" ca="1">_xlfn.XLOOKUP(TEXT(A75, "mmm-yy"), TEXT([1]Monthly!$C:$C, "mmm-yy"), [1]Monthly!$S:$S, "Not Found")</f>
        <v>72.165557982241168</v>
      </c>
      <c r="F75" cm="1">
        <f t="array" aca="1" ref="F75" ca="1">_xlfn.XLOOKUP(TEXT(A75, "mmm-yy"), TEXT([2]RUNS!$B$5:$B$208, "mmm-yy"), [2]RUNS!$D$5:$D$208, "Not Found")</f>
        <v>30649.067639677844</v>
      </c>
      <c r="G75">
        <f>AVERAGE([3]Sheet1!$H2297,[3]Sheet1!$H2559)</f>
        <v>12449</v>
      </c>
      <c r="H75">
        <f>AVERAGE([3]Sheet1!$I2297,[3]Sheet1!$I2559)</f>
        <v>1.0300000000000011</v>
      </c>
      <c r="I75" cm="1">
        <f t="array" aca="1" ref="I75" ca="1">_xlfn.XLOOKUP(TEXT(A75, "mmm-yy"), TEXT([2]GASOLINE!$B$5:$B$208, "mmm-yy"), [2]GASOLINE!$IR$5:$IR$208, "Not Found")</f>
        <v>-327.55589049834299</v>
      </c>
      <c r="J75" cm="1">
        <f t="array" aca="1" ref="J75" ca="1">_xlfn.XLOOKUP(TEXT(A75, "mmm-yy"), TEXT([2]GASOLINE!$B$5:$B$208, "mmm-yy"), [2]GASOLINE!$IK$5:$IK$208, "Not Found")</f>
        <v>315.59572279560928</v>
      </c>
      <c r="K75">
        <f t="shared" ca="1" si="2"/>
        <v>1</v>
      </c>
      <c r="L75" cm="1">
        <f t="array" aca="1" ref="L75" ca="1">_xlfn.XLOOKUP(TEXT(A75, "mmm-yy"), TEXT([2]GASOLINE!$B$5:$B$208, "mmm-yy"), [2]GASOLINE!$C$5:$C$208, "Not Found")</f>
        <v>7882.5775308994744</v>
      </c>
      <c r="M75" cm="1">
        <f t="array" aca="1" ref="M75" ca="1">_xlfn.XLOOKUP(TEXT(A75, "mmm-yy"), TEXT([2]RUNS!$B$5:$B$208, "mmm-yy"), [2]RUNS!$BM$5:$BM$208, "Not Found")</f>
        <v>0.82082818163425675</v>
      </c>
    </row>
    <row r="76" spans="1:13" x14ac:dyDescent="0.25">
      <c r="A76" s="1">
        <f t="shared" ca="1" si="3"/>
        <v>45923</v>
      </c>
      <c r="B76" cm="1">
        <f t="array" aca="1" ref="B76" ca="1">_xlfn.XLOOKUP(TEXT(A76, "mmm-yy"), TEXT([1]Monthly!$C:$C, "mmm-yy"), [1]Monthly!$O:$O, "Not Found")</f>
        <v>65.745557982241166</v>
      </c>
      <c r="C76" cm="1">
        <f t="array" aca="1" ref="C76" ca="1">_xlfn.XLOOKUP(TEXT(A76, "mmm-yy"), TEXT([1]Monthly!$C:$C, "mmm-yy"), [1]Monthly!$P:$P, "Not Found")</f>
        <v>65.933943461310818</v>
      </c>
      <c r="D76" cm="1">
        <f t="array" aca="1" ref="D76" ca="1">_xlfn.XLOOKUP(TEXT(A76, "mmm-yy"), TEXT([1]Monthly!$C:$C, "mmm-yy"), [1]Monthly!$R:$R, "Not Found")</f>
        <v>61.466594799402699</v>
      </c>
      <c r="E76" cm="1">
        <f t="array" aca="1" ref="E76" ca="1">_xlfn.XLOOKUP(TEXT(A76, "mmm-yy"), TEXT([1]Monthly!$C:$C, "mmm-yy"), [1]Monthly!$S:$S, "Not Found")</f>
        <v>72.165557982241168</v>
      </c>
      <c r="F76" cm="1">
        <f t="array" aca="1" ref="F76" ca="1">_xlfn.XLOOKUP(TEXT(A76, "mmm-yy"), TEXT([2]RUNS!$B$5:$B$208, "mmm-yy"), [2]RUNS!$D$5:$D$208, "Not Found")</f>
        <v>30649.067639677844</v>
      </c>
      <c r="G76">
        <f>AVERAGE([3]Sheet1!$H2298,[3]Sheet1!$H2560)</f>
        <v>12449</v>
      </c>
      <c r="H76">
        <f>AVERAGE([3]Sheet1!$I2298,[3]Sheet1!$I2560)</f>
        <v>0.91499999999999204</v>
      </c>
      <c r="I76" cm="1">
        <f t="array" aca="1" ref="I76" ca="1">_xlfn.XLOOKUP(TEXT(A76, "mmm-yy"), TEXT([2]GASOLINE!$B$5:$B$208, "mmm-yy"), [2]GASOLINE!$IR$5:$IR$208, "Not Found")</f>
        <v>-327.55589049834299</v>
      </c>
      <c r="J76" cm="1">
        <f t="array" aca="1" ref="J76" ca="1">_xlfn.XLOOKUP(TEXT(A76, "mmm-yy"), TEXT([2]GASOLINE!$B$5:$B$208, "mmm-yy"), [2]GASOLINE!$IK$5:$IK$208, "Not Found")</f>
        <v>315.59572279560928</v>
      </c>
      <c r="K76">
        <f t="shared" ca="1" si="2"/>
        <v>1</v>
      </c>
      <c r="L76" cm="1">
        <f t="array" aca="1" ref="L76" ca="1">_xlfn.XLOOKUP(TEXT(A76, "mmm-yy"), TEXT([2]GASOLINE!$B$5:$B$208, "mmm-yy"), [2]GASOLINE!$C$5:$C$208, "Not Found")</f>
        <v>7882.5775308994744</v>
      </c>
      <c r="M76" cm="1">
        <f t="array" aca="1" ref="M76" ca="1">_xlfn.XLOOKUP(TEXT(A76, "mmm-yy"), TEXT([2]RUNS!$B$5:$B$208, "mmm-yy"), [2]RUNS!$BM$5:$BM$208, "Not Found")</f>
        <v>0.82082818163425675</v>
      </c>
    </row>
    <row r="77" spans="1:13" x14ac:dyDescent="0.25">
      <c r="A77" s="1">
        <f t="shared" ca="1" si="3"/>
        <v>45924</v>
      </c>
      <c r="B77" cm="1">
        <f t="array" aca="1" ref="B77" ca="1">_xlfn.XLOOKUP(TEXT(A77, "mmm-yy"), TEXT([1]Monthly!$C:$C, "mmm-yy"), [1]Monthly!$O:$O, "Not Found")</f>
        <v>65.745557982241166</v>
      </c>
      <c r="C77" cm="1">
        <f t="array" aca="1" ref="C77" ca="1">_xlfn.XLOOKUP(TEXT(A77, "mmm-yy"), TEXT([1]Monthly!$C:$C, "mmm-yy"), [1]Monthly!$P:$P, "Not Found")</f>
        <v>65.933943461310818</v>
      </c>
      <c r="D77" cm="1">
        <f t="array" aca="1" ref="D77" ca="1">_xlfn.XLOOKUP(TEXT(A77, "mmm-yy"), TEXT([1]Monthly!$C:$C, "mmm-yy"), [1]Monthly!$R:$R, "Not Found")</f>
        <v>61.466594799402699</v>
      </c>
      <c r="E77" cm="1">
        <f t="array" aca="1" ref="E77" ca="1">_xlfn.XLOOKUP(TEXT(A77, "mmm-yy"), TEXT([1]Monthly!$C:$C, "mmm-yy"), [1]Monthly!$S:$S, "Not Found")</f>
        <v>72.165557982241168</v>
      </c>
      <c r="F77" cm="1">
        <f t="array" aca="1" ref="F77" ca="1">_xlfn.XLOOKUP(TEXT(A77, "mmm-yy"), TEXT([2]RUNS!$B$5:$B$208, "mmm-yy"), [2]RUNS!$D$5:$D$208, "Not Found")</f>
        <v>30649.067639677844</v>
      </c>
      <c r="G77">
        <f>AVERAGE([3]Sheet1!$H2299,[3]Sheet1!$H2561)</f>
        <v>12449</v>
      </c>
      <c r="H77">
        <f>AVERAGE([3]Sheet1!$I2299,[3]Sheet1!$I2561)</f>
        <v>0.73000000000000398</v>
      </c>
      <c r="I77" cm="1">
        <f t="array" aca="1" ref="I77" ca="1">_xlfn.XLOOKUP(TEXT(A77, "mmm-yy"), TEXT([2]GASOLINE!$B$5:$B$208, "mmm-yy"), [2]GASOLINE!$IR$5:$IR$208, "Not Found")</f>
        <v>-327.55589049834299</v>
      </c>
      <c r="J77" cm="1">
        <f t="array" aca="1" ref="J77" ca="1">_xlfn.XLOOKUP(TEXT(A77, "mmm-yy"), TEXT([2]GASOLINE!$B$5:$B$208, "mmm-yy"), [2]GASOLINE!$IK$5:$IK$208, "Not Found")</f>
        <v>315.59572279560928</v>
      </c>
      <c r="K77">
        <f t="shared" ca="1" si="2"/>
        <v>1</v>
      </c>
      <c r="L77" cm="1">
        <f t="array" aca="1" ref="L77" ca="1">_xlfn.XLOOKUP(TEXT(A77, "mmm-yy"), TEXT([2]GASOLINE!$B$5:$B$208, "mmm-yy"), [2]GASOLINE!$C$5:$C$208, "Not Found")</f>
        <v>7882.5775308994744</v>
      </c>
      <c r="M77" cm="1">
        <f t="array" aca="1" ref="M77" ca="1">_xlfn.XLOOKUP(TEXT(A77, "mmm-yy"), TEXT([2]RUNS!$B$5:$B$208, "mmm-yy"), [2]RUNS!$BM$5:$BM$208, "Not Found")</f>
        <v>0.82082818163425675</v>
      </c>
    </row>
    <row r="78" spans="1:13" x14ac:dyDescent="0.25">
      <c r="A78" s="1">
        <f t="shared" ca="1" si="3"/>
        <v>45925</v>
      </c>
      <c r="B78" cm="1">
        <f t="array" aca="1" ref="B78" ca="1">_xlfn.XLOOKUP(TEXT(A78, "mmm-yy"), TEXT([1]Monthly!$C:$C, "mmm-yy"), [1]Monthly!$O:$O, "Not Found")</f>
        <v>65.745557982241166</v>
      </c>
      <c r="C78" cm="1">
        <f t="array" aca="1" ref="C78" ca="1">_xlfn.XLOOKUP(TEXT(A78, "mmm-yy"), TEXT([1]Monthly!$C:$C, "mmm-yy"), [1]Monthly!$P:$P, "Not Found")</f>
        <v>65.933943461310818</v>
      </c>
      <c r="D78" cm="1">
        <f t="array" aca="1" ref="D78" ca="1">_xlfn.XLOOKUP(TEXT(A78, "mmm-yy"), TEXT([1]Monthly!$C:$C, "mmm-yy"), [1]Monthly!$R:$R, "Not Found")</f>
        <v>61.466594799402699</v>
      </c>
      <c r="E78" cm="1">
        <f t="array" aca="1" ref="E78" ca="1">_xlfn.XLOOKUP(TEXT(A78, "mmm-yy"), TEXT([1]Monthly!$C:$C, "mmm-yy"), [1]Monthly!$S:$S, "Not Found")</f>
        <v>72.165557982241168</v>
      </c>
      <c r="F78" cm="1">
        <f t="array" aca="1" ref="F78" ca="1">_xlfn.XLOOKUP(TEXT(A78, "mmm-yy"), TEXT([2]RUNS!$B$5:$B$208, "mmm-yy"), [2]RUNS!$D$5:$D$208, "Not Found")</f>
        <v>30649.067639677844</v>
      </c>
      <c r="G78">
        <f>AVERAGE([3]Sheet1!$H2300,[3]Sheet1!$H2562)</f>
        <v>12449</v>
      </c>
      <c r="H78">
        <f>AVERAGE([3]Sheet1!$I2300,[3]Sheet1!$I2562)</f>
        <v>0.78999999999999915</v>
      </c>
      <c r="I78" cm="1">
        <f t="array" aca="1" ref="I78" ca="1">_xlfn.XLOOKUP(TEXT(A78, "mmm-yy"), TEXT([2]GASOLINE!$B$5:$B$208, "mmm-yy"), [2]GASOLINE!$IR$5:$IR$208, "Not Found")</f>
        <v>-327.55589049834299</v>
      </c>
      <c r="J78" cm="1">
        <f t="array" aca="1" ref="J78" ca="1">_xlfn.XLOOKUP(TEXT(A78, "mmm-yy"), TEXT([2]GASOLINE!$B$5:$B$208, "mmm-yy"), [2]GASOLINE!$IK$5:$IK$208, "Not Found")</f>
        <v>315.59572279560928</v>
      </c>
      <c r="K78">
        <f t="shared" ca="1" si="2"/>
        <v>1</v>
      </c>
      <c r="L78" cm="1">
        <f t="array" aca="1" ref="L78" ca="1">_xlfn.XLOOKUP(TEXT(A78, "mmm-yy"), TEXT([2]GASOLINE!$B$5:$B$208, "mmm-yy"), [2]GASOLINE!$C$5:$C$208, "Not Found")</f>
        <v>7882.5775308994744</v>
      </c>
      <c r="M78" cm="1">
        <f t="array" aca="1" ref="M78" ca="1">_xlfn.XLOOKUP(TEXT(A78, "mmm-yy"), TEXT([2]RUNS!$B$5:$B$208, "mmm-yy"), [2]RUNS!$BM$5:$BM$208, "Not Found")</f>
        <v>0.82082818163425675</v>
      </c>
    </row>
    <row r="79" spans="1:13" x14ac:dyDescent="0.25">
      <c r="A79" s="1">
        <f t="shared" ca="1" si="3"/>
        <v>45926</v>
      </c>
      <c r="B79" cm="1">
        <f t="array" aca="1" ref="B79" ca="1">_xlfn.XLOOKUP(TEXT(A79, "mmm-yy"), TEXT([1]Monthly!$C:$C, "mmm-yy"), [1]Monthly!$O:$O, "Not Found")</f>
        <v>65.745557982241166</v>
      </c>
      <c r="C79" cm="1">
        <f t="array" aca="1" ref="C79" ca="1">_xlfn.XLOOKUP(TEXT(A79, "mmm-yy"), TEXT([1]Monthly!$C:$C, "mmm-yy"), [1]Monthly!$P:$P, "Not Found")</f>
        <v>65.933943461310818</v>
      </c>
      <c r="D79" cm="1">
        <f t="array" aca="1" ref="D79" ca="1">_xlfn.XLOOKUP(TEXT(A79, "mmm-yy"), TEXT([1]Monthly!$C:$C, "mmm-yy"), [1]Monthly!$R:$R, "Not Found")</f>
        <v>61.466594799402699</v>
      </c>
      <c r="E79" cm="1">
        <f t="array" aca="1" ref="E79" ca="1">_xlfn.XLOOKUP(TEXT(A79, "mmm-yy"), TEXT([1]Monthly!$C:$C, "mmm-yy"), [1]Monthly!$S:$S, "Not Found")</f>
        <v>72.165557982241168</v>
      </c>
      <c r="F79" cm="1">
        <f t="array" aca="1" ref="F79" ca="1">_xlfn.XLOOKUP(TEXT(A79, "mmm-yy"), TEXT([2]RUNS!$B$5:$B$208, "mmm-yy"), [2]RUNS!$D$5:$D$208, "Not Found")</f>
        <v>30649.067639677844</v>
      </c>
      <c r="G79">
        <f>AVERAGE([3]Sheet1!$H2301,[3]Sheet1!$H2563)</f>
        <v>12449</v>
      </c>
      <c r="H79">
        <f>AVERAGE([3]Sheet1!$I2301,[3]Sheet1!$I2563)</f>
        <v>0.86000000000000654</v>
      </c>
      <c r="I79" cm="1">
        <f t="array" aca="1" ref="I79" ca="1">_xlfn.XLOOKUP(TEXT(A79, "mmm-yy"), TEXT([2]GASOLINE!$B$5:$B$208, "mmm-yy"), [2]GASOLINE!$IR$5:$IR$208, "Not Found")</f>
        <v>-327.55589049834299</v>
      </c>
      <c r="J79" cm="1">
        <f t="array" aca="1" ref="J79" ca="1">_xlfn.XLOOKUP(TEXT(A79, "mmm-yy"), TEXT([2]GASOLINE!$B$5:$B$208, "mmm-yy"), [2]GASOLINE!$IK$5:$IK$208, "Not Found")</f>
        <v>315.59572279560928</v>
      </c>
      <c r="K79">
        <f t="shared" ca="1" si="2"/>
        <v>1</v>
      </c>
      <c r="L79" cm="1">
        <f t="array" aca="1" ref="L79" ca="1">_xlfn.XLOOKUP(TEXT(A79, "mmm-yy"), TEXT([2]GASOLINE!$B$5:$B$208, "mmm-yy"), [2]GASOLINE!$C$5:$C$208, "Not Found")</f>
        <v>7882.5775308994744</v>
      </c>
      <c r="M79" cm="1">
        <f t="array" aca="1" ref="M79" ca="1">_xlfn.XLOOKUP(TEXT(A79, "mmm-yy"), TEXT([2]RUNS!$B$5:$B$208, "mmm-yy"), [2]RUNS!$BM$5:$BM$208, "Not Found")</f>
        <v>0.82082818163425675</v>
      </c>
    </row>
    <row r="80" spans="1:13" x14ac:dyDescent="0.25">
      <c r="A80" s="1">
        <f t="shared" ca="1" si="3"/>
        <v>45927</v>
      </c>
      <c r="B80" cm="1">
        <f t="array" aca="1" ref="B80" ca="1">_xlfn.XLOOKUP(TEXT(A80, "mmm-yy"), TEXT([1]Monthly!$C:$C, "mmm-yy"), [1]Monthly!$O:$O, "Not Found")</f>
        <v>65.745557982241166</v>
      </c>
      <c r="C80" cm="1">
        <f t="array" aca="1" ref="C80" ca="1">_xlfn.XLOOKUP(TEXT(A80, "mmm-yy"), TEXT([1]Monthly!$C:$C, "mmm-yy"), [1]Monthly!$P:$P, "Not Found")</f>
        <v>65.933943461310818</v>
      </c>
      <c r="D80" cm="1">
        <f t="array" aca="1" ref="D80" ca="1">_xlfn.XLOOKUP(TEXT(A80, "mmm-yy"), TEXT([1]Monthly!$C:$C, "mmm-yy"), [1]Monthly!$R:$R, "Not Found")</f>
        <v>61.466594799402699</v>
      </c>
      <c r="E80" cm="1">
        <f t="array" aca="1" ref="E80" ca="1">_xlfn.XLOOKUP(TEXT(A80, "mmm-yy"), TEXT([1]Monthly!$C:$C, "mmm-yy"), [1]Monthly!$S:$S, "Not Found")</f>
        <v>72.165557982241168</v>
      </c>
      <c r="F80" cm="1">
        <f t="array" aca="1" ref="F80" ca="1">_xlfn.XLOOKUP(TEXT(A80, "mmm-yy"), TEXT([2]RUNS!$B$5:$B$208, "mmm-yy"), [2]RUNS!$D$5:$D$208, "Not Found")</f>
        <v>30649.067639677844</v>
      </c>
      <c r="G80">
        <f>AVERAGE([3]Sheet1!$H2302,[3]Sheet1!$H2564)</f>
        <v>12449</v>
      </c>
      <c r="H80">
        <f>AVERAGE([3]Sheet1!$I2302,[3]Sheet1!$I2564)</f>
        <v>0.80499999999999972</v>
      </c>
      <c r="I80" cm="1">
        <f t="array" aca="1" ref="I80" ca="1">_xlfn.XLOOKUP(TEXT(A80, "mmm-yy"), TEXT([2]GASOLINE!$B$5:$B$208, "mmm-yy"), [2]GASOLINE!$IR$5:$IR$208, "Not Found")</f>
        <v>-327.55589049834299</v>
      </c>
      <c r="J80" cm="1">
        <f t="array" aca="1" ref="J80" ca="1">_xlfn.XLOOKUP(TEXT(A80, "mmm-yy"), TEXT([2]GASOLINE!$B$5:$B$208, "mmm-yy"), [2]GASOLINE!$IK$5:$IK$208, "Not Found")</f>
        <v>315.59572279560928</v>
      </c>
      <c r="K80">
        <f t="shared" ca="1" si="2"/>
        <v>1</v>
      </c>
      <c r="L80" cm="1">
        <f t="array" aca="1" ref="L80" ca="1">_xlfn.XLOOKUP(TEXT(A80, "mmm-yy"), TEXT([2]GASOLINE!$B$5:$B$208, "mmm-yy"), [2]GASOLINE!$C$5:$C$208, "Not Found")</f>
        <v>7882.5775308994744</v>
      </c>
      <c r="M80" cm="1">
        <f t="array" aca="1" ref="M80" ca="1">_xlfn.XLOOKUP(TEXT(A80, "mmm-yy"), TEXT([2]RUNS!$B$5:$B$208, "mmm-yy"), [2]RUNS!$BM$5:$BM$208, "Not Found")</f>
        <v>0.82082818163425675</v>
      </c>
    </row>
    <row r="81" spans="1:13" x14ac:dyDescent="0.25">
      <c r="A81" s="1">
        <f t="shared" ca="1" si="3"/>
        <v>45928</v>
      </c>
      <c r="B81" cm="1">
        <f t="array" aca="1" ref="B81" ca="1">_xlfn.XLOOKUP(TEXT(A81, "mmm-yy"), TEXT([1]Monthly!$C:$C, "mmm-yy"), [1]Monthly!$O:$O, "Not Found")</f>
        <v>65.745557982241166</v>
      </c>
      <c r="C81" cm="1">
        <f t="array" aca="1" ref="C81" ca="1">_xlfn.XLOOKUP(TEXT(A81, "mmm-yy"), TEXT([1]Monthly!$C:$C, "mmm-yy"), [1]Monthly!$P:$P, "Not Found")</f>
        <v>65.933943461310818</v>
      </c>
      <c r="D81" cm="1">
        <f t="array" aca="1" ref="D81" ca="1">_xlfn.XLOOKUP(TEXT(A81, "mmm-yy"), TEXT([1]Monthly!$C:$C, "mmm-yy"), [1]Monthly!$R:$R, "Not Found")</f>
        <v>61.466594799402699</v>
      </c>
      <c r="E81" cm="1">
        <f t="array" aca="1" ref="E81" ca="1">_xlfn.XLOOKUP(TEXT(A81, "mmm-yy"), TEXT([1]Monthly!$C:$C, "mmm-yy"), [1]Monthly!$S:$S, "Not Found")</f>
        <v>72.165557982241168</v>
      </c>
      <c r="F81" cm="1">
        <f t="array" aca="1" ref="F81" ca="1">_xlfn.XLOOKUP(TEXT(A81, "mmm-yy"), TEXT([2]RUNS!$B$5:$B$208, "mmm-yy"), [2]RUNS!$D$5:$D$208, "Not Found")</f>
        <v>30649.067639677844</v>
      </c>
      <c r="G81">
        <f>AVERAGE([3]Sheet1!$H2303,[3]Sheet1!$H2565)</f>
        <v>12449</v>
      </c>
      <c r="H81">
        <f>AVERAGE([3]Sheet1!$I2303,[3]Sheet1!$I2565)</f>
        <v>0.86500000000000909</v>
      </c>
      <c r="I81" cm="1">
        <f t="array" aca="1" ref="I81" ca="1">_xlfn.XLOOKUP(TEXT(A81, "mmm-yy"), TEXT([2]GASOLINE!$B$5:$B$208, "mmm-yy"), [2]GASOLINE!$IR$5:$IR$208, "Not Found")</f>
        <v>-327.55589049834299</v>
      </c>
      <c r="J81" cm="1">
        <f t="array" aca="1" ref="J81" ca="1">_xlfn.XLOOKUP(TEXT(A81, "mmm-yy"), TEXT([2]GASOLINE!$B$5:$B$208, "mmm-yy"), [2]GASOLINE!$IK$5:$IK$208, "Not Found")</f>
        <v>315.59572279560928</v>
      </c>
      <c r="K81">
        <f t="shared" ca="1" si="2"/>
        <v>1</v>
      </c>
      <c r="L81" cm="1">
        <f t="array" aca="1" ref="L81" ca="1">_xlfn.XLOOKUP(TEXT(A81, "mmm-yy"), TEXT([2]GASOLINE!$B$5:$B$208, "mmm-yy"), [2]GASOLINE!$C$5:$C$208, "Not Found")</f>
        <v>7882.5775308994744</v>
      </c>
      <c r="M81" cm="1">
        <f t="array" aca="1" ref="M81" ca="1">_xlfn.XLOOKUP(TEXT(A81, "mmm-yy"), TEXT([2]RUNS!$B$5:$B$208, "mmm-yy"), [2]RUNS!$BM$5:$BM$208, "Not Found")</f>
        <v>0.82082818163425675</v>
      </c>
    </row>
    <row r="82" spans="1:13" x14ac:dyDescent="0.25">
      <c r="A82" s="1">
        <f t="shared" ca="1" si="3"/>
        <v>45929</v>
      </c>
      <c r="B82" cm="1">
        <f t="array" aca="1" ref="B82" ca="1">_xlfn.XLOOKUP(TEXT(A82, "mmm-yy"), TEXT([1]Monthly!$C:$C, "mmm-yy"), [1]Monthly!$O:$O, "Not Found")</f>
        <v>65.745557982241166</v>
      </c>
      <c r="C82" cm="1">
        <f t="array" aca="1" ref="C82" ca="1">_xlfn.XLOOKUP(TEXT(A82, "mmm-yy"), TEXT([1]Monthly!$C:$C, "mmm-yy"), [1]Monthly!$P:$P, "Not Found")</f>
        <v>65.933943461310818</v>
      </c>
      <c r="D82" cm="1">
        <f t="array" aca="1" ref="D82" ca="1">_xlfn.XLOOKUP(TEXT(A82, "mmm-yy"), TEXT([1]Monthly!$C:$C, "mmm-yy"), [1]Monthly!$R:$R, "Not Found")</f>
        <v>61.466594799402699</v>
      </c>
      <c r="E82" cm="1">
        <f t="array" aca="1" ref="E82" ca="1">_xlfn.XLOOKUP(TEXT(A82, "mmm-yy"), TEXT([1]Monthly!$C:$C, "mmm-yy"), [1]Monthly!$S:$S, "Not Found")</f>
        <v>72.165557982241168</v>
      </c>
      <c r="F82" cm="1">
        <f t="array" aca="1" ref="F82" ca="1">_xlfn.XLOOKUP(TEXT(A82, "mmm-yy"), TEXT([2]RUNS!$B$5:$B$208, "mmm-yy"), [2]RUNS!$D$5:$D$208, "Not Found")</f>
        <v>30649.067639677844</v>
      </c>
      <c r="G82">
        <f>AVERAGE([3]Sheet1!$H2304,[3]Sheet1!$H2566)</f>
        <v>12449</v>
      </c>
      <c r="H82">
        <f>AVERAGE([3]Sheet1!$I2304,[3]Sheet1!$I2566)</f>
        <v>0.98000000000000398</v>
      </c>
      <c r="I82" cm="1">
        <f t="array" aca="1" ref="I82" ca="1">_xlfn.XLOOKUP(TEXT(A82, "mmm-yy"), TEXT([2]GASOLINE!$B$5:$B$208, "mmm-yy"), [2]GASOLINE!$IR$5:$IR$208, "Not Found")</f>
        <v>-327.55589049834299</v>
      </c>
      <c r="J82" cm="1">
        <f t="array" aca="1" ref="J82" ca="1">_xlfn.XLOOKUP(TEXT(A82, "mmm-yy"), TEXT([2]GASOLINE!$B$5:$B$208, "mmm-yy"), [2]GASOLINE!$IK$5:$IK$208, "Not Found")</f>
        <v>315.59572279560928</v>
      </c>
      <c r="K82">
        <f t="shared" ca="1" si="2"/>
        <v>1</v>
      </c>
      <c r="L82" cm="1">
        <f t="array" aca="1" ref="L82" ca="1">_xlfn.XLOOKUP(TEXT(A82, "mmm-yy"), TEXT([2]GASOLINE!$B$5:$B$208, "mmm-yy"), [2]GASOLINE!$C$5:$C$208, "Not Found")</f>
        <v>7882.5775308994744</v>
      </c>
      <c r="M82" cm="1">
        <f t="array" aca="1" ref="M82" ca="1">_xlfn.XLOOKUP(TEXT(A82, "mmm-yy"), TEXT([2]RUNS!$B$5:$B$208, "mmm-yy"), [2]RUNS!$BM$5:$BM$208, "Not Found")</f>
        <v>0.82082818163425675</v>
      </c>
    </row>
    <row r="83" spans="1:13" x14ac:dyDescent="0.25">
      <c r="A83" s="1">
        <f t="shared" ca="1" si="3"/>
        <v>45930</v>
      </c>
      <c r="B83" cm="1">
        <f t="array" aca="1" ref="B83" ca="1">_xlfn.XLOOKUP(TEXT(A83, "mmm-yy"), TEXT([1]Monthly!$C:$C, "mmm-yy"), [1]Monthly!$O:$O, "Not Found")</f>
        <v>65.745557982241166</v>
      </c>
      <c r="C83" cm="1">
        <f t="array" aca="1" ref="C83" ca="1">_xlfn.XLOOKUP(TEXT(A83, "mmm-yy"), TEXT([1]Monthly!$C:$C, "mmm-yy"), [1]Monthly!$P:$P, "Not Found")</f>
        <v>65.933943461310818</v>
      </c>
      <c r="D83" cm="1">
        <f t="array" aca="1" ref="D83" ca="1">_xlfn.XLOOKUP(TEXT(A83, "mmm-yy"), TEXT([1]Monthly!$C:$C, "mmm-yy"), [1]Monthly!$R:$R, "Not Found")</f>
        <v>61.466594799402699</v>
      </c>
      <c r="E83" cm="1">
        <f t="array" aca="1" ref="E83" ca="1">_xlfn.XLOOKUP(TEXT(A83, "mmm-yy"), TEXT([1]Monthly!$C:$C, "mmm-yy"), [1]Monthly!$S:$S, "Not Found")</f>
        <v>72.165557982241168</v>
      </c>
      <c r="F83" cm="1">
        <f t="array" aca="1" ref="F83" ca="1">_xlfn.XLOOKUP(TEXT(A83, "mmm-yy"), TEXT([2]RUNS!$B$5:$B$208, "mmm-yy"), [2]RUNS!$D$5:$D$208, "Not Found")</f>
        <v>30649.067639677844</v>
      </c>
      <c r="G83">
        <f>AVERAGE([3]Sheet1!$H2305,[3]Sheet1!$H2567)</f>
        <v>12449</v>
      </c>
      <c r="H83">
        <f>AVERAGE([3]Sheet1!$I2305,[3]Sheet1!$I2567)</f>
        <v>0.86500000000000199</v>
      </c>
      <c r="I83" cm="1">
        <f t="array" aca="1" ref="I83" ca="1">_xlfn.XLOOKUP(TEXT(A83, "mmm-yy"), TEXT([2]GASOLINE!$B$5:$B$208, "mmm-yy"), [2]GASOLINE!$IR$5:$IR$208, "Not Found")</f>
        <v>-327.55589049834299</v>
      </c>
      <c r="J83" cm="1">
        <f t="array" aca="1" ref="J83" ca="1">_xlfn.XLOOKUP(TEXT(A83, "mmm-yy"), TEXT([2]GASOLINE!$B$5:$B$208, "mmm-yy"), [2]GASOLINE!$IK$5:$IK$208, "Not Found")</f>
        <v>315.59572279560928</v>
      </c>
      <c r="K83">
        <f t="shared" ca="1" si="2"/>
        <v>1</v>
      </c>
      <c r="L83" cm="1">
        <f t="array" aca="1" ref="L83" ca="1">_xlfn.XLOOKUP(TEXT(A83, "mmm-yy"), TEXT([2]GASOLINE!$B$5:$B$208, "mmm-yy"), [2]GASOLINE!$C$5:$C$208, "Not Found")</f>
        <v>7882.5775308994744</v>
      </c>
      <c r="M83" cm="1">
        <f t="array" aca="1" ref="M83" ca="1">_xlfn.XLOOKUP(TEXT(A83, "mmm-yy"), TEXT([2]RUNS!$B$5:$B$208, "mmm-yy"), [2]RUNS!$BM$5:$BM$208, "Not Found")</f>
        <v>0.82082818163425675</v>
      </c>
    </row>
    <row r="84" spans="1:13" x14ac:dyDescent="0.25">
      <c r="A84" s="1">
        <f t="shared" ca="1" si="3"/>
        <v>45931</v>
      </c>
      <c r="B84" cm="1">
        <f t="array" aca="1" ref="B84" ca="1">_xlfn.XLOOKUP(TEXT(A84, "mmm-yy"), TEXT([1]Monthly!$C:$C, "mmm-yy"), [1]Monthly!$O:$O, "Not Found")</f>
        <v>67.352164742720163</v>
      </c>
      <c r="C84" cm="1">
        <f t="array" aca="1" ref="C84" ca="1">_xlfn.XLOOKUP(TEXT(A84, "mmm-yy"), TEXT([1]Monthly!$C:$C, "mmm-yy"), [1]Monthly!$P:$P, "Not Found")</f>
        <v>66.991392324078362</v>
      </c>
      <c r="D84" cm="1">
        <f t="array" aca="1" ref="D84" ca="1">_xlfn.XLOOKUP(TEXT(A84, "mmm-yy"), TEXT([1]Monthly!$C:$C, "mmm-yy"), [1]Monthly!$R:$R, "Not Found")</f>
        <v>62.799554262716029</v>
      </c>
      <c r="E84" cm="1">
        <f t="array" aca="1" ref="E84" ca="1">_xlfn.XLOOKUP(TEXT(A84, "mmm-yy"), TEXT([1]Monthly!$C:$C, "mmm-yy"), [1]Monthly!$S:$S, "Not Found")</f>
        <v>73.692164742720166</v>
      </c>
      <c r="F84" cm="1">
        <f t="array" aca="1" ref="F84" ca="1">_xlfn.XLOOKUP(TEXT(A84, "mmm-yy"), TEXT([2]RUNS!$B$5:$B$208, "mmm-yy"), [2]RUNS!$D$5:$D$208, "Not Found")</f>
        <v>30196.546910861165</v>
      </c>
      <c r="G84">
        <f>AVERAGE([3]Sheet1!$H2306,[3]Sheet1!$H2568)</f>
        <v>13196.375</v>
      </c>
      <c r="H84">
        <f>AVERAGE([3]Sheet1!$I2306,[3]Sheet1!$I2568)</f>
        <v>0.49500000000000455</v>
      </c>
      <c r="I84" cm="1">
        <f t="array" aca="1" ref="I84" ca="1">_xlfn.XLOOKUP(TEXT(A84, "mmm-yy"), TEXT([2]GASOLINE!$B$5:$B$208, "mmm-yy"), [2]GASOLINE!$IR$5:$IR$208, "Not Found")</f>
        <v>-459.82900464317572</v>
      </c>
      <c r="J84" cm="1">
        <f t="array" aca="1" ref="J84" ca="1">_xlfn.XLOOKUP(TEXT(A84, "mmm-yy"), TEXT([2]GASOLINE!$B$5:$B$208, "mmm-yy"), [2]GASOLINE!$IK$5:$IK$208, "Not Found")</f>
        <v>321.95079755835258</v>
      </c>
      <c r="K84">
        <f t="shared" ca="1" si="2"/>
        <v>0</v>
      </c>
      <c r="L84" cm="1">
        <f t="array" aca="1" ref="L84" ca="1">_xlfn.XLOOKUP(TEXT(A84, "mmm-yy"), TEXT([2]GASOLINE!$B$5:$B$208, "mmm-yy"), [2]GASOLINE!$C$5:$C$208, "Not Found")</f>
        <v>8014.7416358039673</v>
      </c>
      <c r="M84" cm="1">
        <f t="array" aca="1" ref="M84" ca="1">_xlfn.XLOOKUP(TEXT(A84, "mmm-yy"), TEXT([2]RUNS!$B$5:$B$208, "mmm-yy"), [2]RUNS!$BM$5:$BM$208, "Not Found")</f>
        <v>0.80612045967097878</v>
      </c>
    </row>
    <row r="85" spans="1:13" x14ac:dyDescent="0.25">
      <c r="A85" s="1">
        <f t="shared" ca="1" si="3"/>
        <v>45932</v>
      </c>
      <c r="B85" cm="1">
        <f t="array" aca="1" ref="B85" ca="1">_xlfn.XLOOKUP(TEXT(A85, "mmm-yy"), TEXT([1]Monthly!$C:$C, "mmm-yy"), [1]Monthly!$O:$O, "Not Found")</f>
        <v>67.352164742720163</v>
      </c>
      <c r="C85" cm="1">
        <f t="array" aca="1" ref="C85" ca="1">_xlfn.XLOOKUP(TEXT(A85, "mmm-yy"), TEXT([1]Monthly!$C:$C, "mmm-yy"), [1]Monthly!$P:$P, "Not Found")</f>
        <v>66.991392324078362</v>
      </c>
      <c r="D85" cm="1">
        <f t="array" aca="1" ref="D85" ca="1">_xlfn.XLOOKUP(TEXT(A85, "mmm-yy"), TEXT([1]Monthly!$C:$C, "mmm-yy"), [1]Monthly!$R:$R, "Not Found")</f>
        <v>62.799554262716029</v>
      </c>
      <c r="E85" cm="1">
        <f t="array" aca="1" ref="E85" ca="1">_xlfn.XLOOKUP(TEXT(A85, "mmm-yy"), TEXT([1]Monthly!$C:$C, "mmm-yy"), [1]Monthly!$S:$S, "Not Found")</f>
        <v>73.692164742720166</v>
      </c>
      <c r="F85" cm="1">
        <f t="array" aca="1" ref="F85" ca="1">_xlfn.XLOOKUP(TEXT(A85, "mmm-yy"), TEXT([2]RUNS!$B$5:$B$208, "mmm-yy"), [2]RUNS!$D$5:$D$208, "Not Found")</f>
        <v>30196.546910861165</v>
      </c>
      <c r="G85">
        <f>AVERAGE([3]Sheet1!$H2307,[3]Sheet1!$H2569)</f>
        <v>13196.375</v>
      </c>
      <c r="H85">
        <f>AVERAGE([3]Sheet1!$I2307,[3]Sheet1!$I2569)</f>
        <v>0.63999999999999346</v>
      </c>
      <c r="I85" cm="1">
        <f t="array" aca="1" ref="I85" ca="1">_xlfn.XLOOKUP(TEXT(A85, "mmm-yy"), TEXT([2]GASOLINE!$B$5:$B$208, "mmm-yy"), [2]GASOLINE!$IR$5:$IR$208, "Not Found")</f>
        <v>-459.82900464317572</v>
      </c>
      <c r="J85" cm="1">
        <f t="array" aca="1" ref="J85" ca="1">_xlfn.XLOOKUP(TEXT(A85, "mmm-yy"), TEXT([2]GASOLINE!$B$5:$B$208, "mmm-yy"), [2]GASOLINE!$IK$5:$IK$208, "Not Found")</f>
        <v>321.95079755835258</v>
      </c>
      <c r="K85">
        <f t="shared" ca="1" si="2"/>
        <v>0</v>
      </c>
      <c r="L85" cm="1">
        <f t="array" aca="1" ref="L85" ca="1">_xlfn.XLOOKUP(TEXT(A85, "mmm-yy"), TEXT([2]GASOLINE!$B$5:$B$208, "mmm-yy"), [2]GASOLINE!$C$5:$C$208, "Not Found")</f>
        <v>8014.7416358039673</v>
      </c>
      <c r="M85" cm="1">
        <f t="array" aca="1" ref="M85" ca="1">_xlfn.XLOOKUP(TEXT(A85, "mmm-yy"), TEXT([2]RUNS!$B$5:$B$208, "mmm-yy"), [2]RUNS!$BM$5:$BM$208, "Not Found")</f>
        <v>0.80612045967097878</v>
      </c>
    </row>
    <row r="86" spans="1:13" x14ac:dyDescent="0.25">
      <c r="A86" s="1">
        <f t="shared" ca="1" si="3"/>
        <v>45933</v>
      </c>
      <c r="B86" cm="1">
        <f t="array" aca="1" ref="B86" ca="1">_xlfn.XLOOKUP(TEXT(A86, "mmm-yy"), TEXT([1]Monthly!$C:$C, "mmm-yy"), [1]Monthly!$O:$O, "Not Found")</f>
        <v>67.352164742720163</v>
      </c>
      <c r="C86" cm="1">
        <f t="array" aca="1" ref="C86" ca="1">_xlfn.XLOOKUP(TEXT(A86, "mmm-yy"), TEXT([1]Monthly!$C:$C, "mmm-yy"), [1]Monthly!$P:$P, "Not Found")</f>
        <v>66.991392324078362</v>
      </c>
      <c r="D86" cm="1">
        <f t="array" aca="1" ref="D86" ca="1">_xlfn.XLOOKUP(TEXT(A86, "mmm-yy"), TEXT([1]Monthly!$C:$C, "mmm-yy"), [1]Monthly!$R:$R, "Not Found")</f>
        <v>62.799554262716029</v>
      </c>
      <c r="E86" cm="1">
        <f t="array" aca="1" ref="E86" ca="1">_xlfn.XLOOKUP(TEXT(A86, "mmm-yy"), TEXT([1]Monthly!$C:$C, "mmm-yy"), [1]Monthly!$S:$S, "Not Found")</f>
        <v>73.692164742720166</v>
      </c>
      <c r="F86" cm="1">
        <f t="array" aca="1" ref="F86" ca="1">_xlfn.XLOOKUP(TEXT(A86, "mmm-yy"), TEXT([2]RUNS!$B$5:$B$208, "mmm-yy"), [2]RUNS!$D$5:$D$208, "Not Found")</f>
        <v>30196.546910861165</v>
      </c>
      <c r="G86">
        <f>AVERAGE([3]Sheet1!$H2308,[3]Sheet1!$H2570)</f>
        <v>13196.375</v>
      </c>
      <c r="H86">
        <f>AVERAGE([3]Sheet1!$I2308,[3]Sheet1!$I2570)</f>
        <v>0.82000000000000028</v>
      </c>
      <c r="I86" cm="1">
        <f t="array" aca="1" ref="I86" ca="1">_xlfn.XLOOKUP(TEXT(A86, "mmm-yy"), TEXT([2]GASOLINE!$B$5:$B$208, "mmm-yy"), [2]GASOLINE!$IR$5:$IR$208, "Not Found")</f>
        <v>-459.82900464317572</v>
      </c>
      <c r="J86" cm="1">
        <f t="array" aca="1" ref="J86" ca="1">_xlfn.XLOOKUP(TEXT(A86, "mmm-yy"), TEXT([2]GASOLINE!$B$5:$B$208, "mmm-yy"), [2]GASOLINE!$IK$5:$IK$208, "Not Found")</f>
        <v>321.95079755835258</v>
      </c>
      <c r="K86">
        <f t="shared" ca="1" si="2"/>
        <v>0</v>
      </c>
      <c r="L86" cm="1">
        <f t="array" aca="1" ref="L86" ca="1">_xlfn.XLOOKUP(TEXT(A86, "mmm-yy"), TEXT([2]GASOLINE!$B$5:$B$208, "mmm-yy"), [2]GASOLINE!$C$5:$C$208, "Not Found")</f>
        <v>8014.7416358039673</v>
      </c>
      <c r="M86" cm="1">
        <f t="array" aca="1" ref="M86" ca="1">_xlfn.XLOOKUP(TEXT(A86, "mmm-yy"), TEXT([2]RUNS!$B$5:$B$208, "mmm-yy"), [2]RUNS!$BM$5:$BM$208, "Not Found")</f>
        <v>0.80612045967097878</v>
      </c>
    </row>
    <row r="87" spans="1:13" x14ac:dyDescent="0.25">
      <c r="A87" s="1">
        <f t="shared" ca="1" si="3"/>
        <v>45934</v>
      </c>
      <c r="B87" cm="1">
        <f t="array" aca="1" ref="B87" ca="1">_xlfn.XLOOKUP(TEXT(A87, "mmm-yy"), TEXT([1]Monthly!$C:$C, "mmm-yy"), [1]Monthly!$O:$O, "Not Found")</f>
        <v>67.352164742720163</v>
      </c>
      <c r="C87" cm="1">
        <f t="array" aca="1" ref="C87" ca="1">_xlfn.XLOOKUP(TEXT(A87, "mmm-yy"), TEXT([1]Monthly!$C:$C, "mmm-yy"), [1]Monthly!$P:$P, "Not Found")</f>
        <v>66.991392324078362</v>
      </c>
      <c r="D87" cm="1">
        <f t="array" aca="1" ref="D87" ca="1">_xlfn.XLOOKUP(TEXT(A87, "mmm-yy"), TEXT([1]Monthly!$C:$C, "mmm-yy"), [1]Monthly!$R:$R, "Not Found")</f>
        <v>62.799554262716029</v>
      </c>
      <c r="E87" cm="1">
        <f t="array" aca="1" ref="E87" ca="1">_xlfn.XLOOKUP(TEXT(A87, "mmm-yy"), TEXT([1]Monthly!$C:$C, "mmm-yy"), [1]Monthly!$S:$S, "Not Found")</f>
        <v>73.692164742720166</v>
      </c>
      <c r="F87" cm="1">
        <f t="array" aca="1" ref="F87" ca="1">_xlfn.XLOOKUP(TEXT(A87, "mmm-yy"), TEXT([2]RUNS!$B$5:$B$208, "mmm-yy"), [2]RUNS!$D$5:$D$208, "Not Found")</f>
        <v>30196.546910861165</v>
      </c>
      <c r="G87">
        <f>AVERAGE([3]Sheet1!$H2309,[3]Sheet1!$H2571)</f>
        <v>13196.375</v>
      </c>
      <c r="H87">
        <f>AVERAGE([3]Sheet1!$I2309,[3]Sheet1!$I2571)</f>
        <v>0.79999999999999716</v>
      </c>
      <c r="I87" cm="1">
        <f t="array" aca="1" ref="I87" ca="1">_xlfn.XLOOKUP(TEXT(A87, "mmm-yy"), TEXT([2]GASOLINE!$B$5:$B$208, "mmm-yy"), [2]GASOLINE!$IR$5:$IR$208, "Not Found")</f>
        <v>-459.82900464317572</v>
      </c>
      <c r="J87" cm="1">
        <f t="array" aca="1" ref="J87" ca="1">_xlfn.XLOOKUP(TEXT(A87, "mmm-yy"), TEXT([2]GASOLINE!$B$5:$B$208, "mmm-yy"), [2]GASOLINE!$IK$5:$IK$208, "Not Found")</f>
        <v>321.95079755835258</v>
      </c>
      <c r="K87">
        <f t="shared" ca="1" si="2"/>
        <v>0</v>
      </c>
      <c r="L87" cm="1">
        <f t="array" aca="1" ref="L87" ca="1">_xlfn.XLOOKUP(TEXT(A87, "mmm-yy"), TEXT([2]GASOLINE!$B$5:$B$208, "mmm-yy"), [2]GASOLINE!$C$5:$C$208, "Not Found")</f>
        <v>8014.7416358039673</v>
      </c>
      <c r="M87" cm="1">
        <f t="array" aca="1" ref="M87" ca="1">_xlfn.XLOOKUP(TEXT(A87, "mmm-yy"), TEXT([2]RUNS!$B$5:$B$208, "mmm-yy"), [2]RUNS!$BM$5:$BM$208, "Not Found")</f>
        <v>0.80612045967097878</v>
      </c>
    </row>
    <row r="88" spans="1:13" x14ac:dyDescent="0.25">
      <c r="A88" s="1">
        <f t="shared" ca="1" si="3"/>
        <v>45935</v>
      </c>
      <c r="B88" cm="1">
        <f t="array" aca="1" ref="B88" ca="1">_xlfn.XLOOKUP(TEXT(A88, "mmm-yy"), TEXT([1]Monthly!$C:$C, "mmm-yy"), [1]Monthly!$O:$O, "Not Found")</f>
        <v>67.352164742720163</v>
      </c>
      <c r="C88" cm="1">
        <f t="array" aca="1" ref="C88" ca="1">_xlfn.XLOOKUP(TEXT(A88, "mmm-yy"), TEXT([1]Monthly!$C:$C, "mmm-yy"), [1]Monthly!$P:$P, "Not Found")</f>
        <v>66.991392324078362</v>
      </c>
      <c r="D88" cm="1">
        <f t="array" aca="1" ref="D88" ca="1">_xlfn.XLOOKUP(TEXT(A88, "mmm-yy"), TEXT([1]Monthly!$C:$C, "mmm-yy"), [1]Monthly!$R:$R, "Not Found")</f>
        <v>62.799554262716029</v>
      </c>
      <c r="E88" cm="1">
        <f t="array" aca="1" ref="E88" ca="1">_xlfn.XLOOKUP(TEXT(A88, "mmm-yy"), TEXT([1]Monthly!$C:$C, "mmm-yy"), [1]Monthly!$S:$S, "Not Found")</f>
        <v>73.692164742720166</v>
      </c>
      <c r="F88" cm="1">
        <f t="array" aca="1" ref="F88" ca="1">_xlfn.XLOOKUP(TEXT(A88, "mmm-yy"), TEXT([2]RUNS!$B$5:$B$208, "mmm-yy"), [2]RUNS!$D$5:$D$208, "Not Found")</f>
        <v>30196.546910861165</v>
      </c>
      <c r="G88">
        <f>AVERAGE([3]Sheet1!$H2310,[3]Sheet1!$H2572)</f>
        <v>13196.375</v>
      </c>
      <c r="H88">
        <f>AVERAGE([3]Sheet1!$I2310,[3]Sheet1!$I2572)</f>
        <v>0.61499999999999488</v>
      </c>
      <c r="I88" cm="1">
        <f t="array" aca="1" ref="I88" ca="1">_xlfn.XLOOKUP(TEXT(A88, "mmm-yy"), TEXT([2]GASOLINE!$B$5:$B$208, "mmm-yy"), [2]GASOLINE!$IR$5:$IR$208, "Not Found")</f>
        <v>-459.82900464317572</v>
      </c>
      <c r="J88" cm="1">
        <f t="array" aca="1" ref="J88" ca="1">_xlfn.XLOOKUP(TEXT(A88, "mmm-yy"), TEXT([2]GASOLINE!$B$5:$B$208, "mmm-yy"), [2]GASOLINE!$IK$5:$IK$208, "Not Found")</f>
        <v>321.95079755835258</v>
      </c>
      <c r="K88">
        <f t="shared" ca="1" si="2"/>
        <v>0</v>
      </c>
      <c r="L88" cm="1">
        <f t="array" aca="1" ref="L88" ca="1">_xlfn.XLOOKUP(TEXT(A88, "mmm-yy"), TEXT([2]GASOLINE!$B$5:$B$208, "mmm-yy"), [2]GASOLINE!$C$5:$C$208, "Not Found")</f>
        <v>8014.7416358039673</v>
      </c>
      <c r="M88" cm="1">
        <f t="array" aca="1" ref="M88" ca="1">_xlfn.XLOOKUP(TEXT(A88, "mmm-yy"), TEXT([2]RUNS!$B$5:$B$208, "mmm-yy"), [2]RUNS!$BM$5:$BM$208, "Not Found")</f>
        <v>0.80612045967097878</v>
      </c>
    </row>
    <row r="89" spans="1:13" x14ac:dyDescent="0.25">
      <c r="A89" s="1">
        <f t="shared" ca="1" si="3"/>
        <v>45936</v>
      </c>
      <c r="B89" cm="1">
        <f t="array" aca="1" ref="B89" ca="1">_xlfn.XLOOKUP(TEXT(A89, "mmm-yy"), TEXT([1]Monthly!$C:$C, "mmm-yy"), [1]Monthly!$O:$O, "Not Found")</f>
        <v>67.352164742720163</v>
      </c>
      <c r="C89" cm="1">
        <f t="array" aca="1" ref="C89" ca="1">_xlfn.XLOOKUP(TEXT(A89, "mmm-yy"), TEXT([1]Monthly!$C:$C, "mmm-yy"), [1]Monthly!$P:$P, "Not Found")</f>
        <v>66.991392324078362</v>
      </c>
      <c r="D89" cm="1">
        <f t="array" aca="1" ref="D89" ca="1">_xlfn.XLOOKUP(TEXT(A89, "mmm-yy"), TEXT([1]Monthly!$C:$C, "mmm-yy"), [1]Monthly!$R:$R, "Not Found")</f>
        <v>62.799554262716029</v>
      </c>
      <c r="E89" cm="1">
        <f t="array" aca="1" ref="E89" ca="1">_xlfn.XLOOKUP(TEXT(A89, "mmm-yy"), TEXT([1]Monthly!$C:$C, "mmm-yy"), [1]Monthly!$S:$S, "Not Found")</f>
        <v>73.692164742720166</v>
      </c>
      <c r="F89" cm="1">
        <f t="array" aca="1" ref="F89" ca="1">_xlfn.XLOOKUP(TEXT(A89, "mmm-yy"), TEXT([2]RUNS!$B$5:$B$208, "mmm-yy"), [2]RUNS!$D$5:$D$208, "Not Found")</f>
        <v>30196.546910861165</v>
      </c>
      <c r="G89">
        <f>AVERAGE([3]Sheet1!$H2311,[3]Sheet1!$H2573)</f>
        <v>13196.375</v>
      </c>
      <c r="H89">
        <f>AVERAGE([3]Sheet1!$I2311,[3]Sheet1!$I2573)</f>
        <v>0.67999999999999972</v>
      </c>
      <c r="I89" cm="1">
        <f t="array" aca="1" ref="I89" ca="1">_xlfn.XLOOKUP(TEXT(A89, "mmm-yy"), TEXT([2]GASOLINE!$B$5:$B$208, "mmm-yy"), [2]GASOLINE!$IR$5:$IR$208, "Not Found")</f>
        <v>-459.82900464317572</v>
      </c>
      <c r="J89" cm="1">
        <f t="array" aca="1" ref="J89" ca="1">_xlfn.XLOOKUP(TEXT(A89, "mmm-yy"), TEXT([2]GASOLINE!$B$5:$B$208, "mmm-yy"), [2]GASOLINE!$IK$5:$IK$208, "Not Found")</f>
        <v>321.95079755835258</v>
      </c>
      <c r="K89">
        <f t="shared" ca="1" si="2"/>
        <v>0</v>
      </c>
      <c r="L89" cm="1">
        <f t="array" aca="1" ref="L89" ca="1">_xlfn.XLOOKUP(TEXT(A89, "mmm-yy"), TEXT([2]GASOLINE!$B$5:$B$208, "mmm-yy"), [2]GASOLINE!$C$5:$C$208, "Not Found")</f>
        <v>8014.7416358039673</v>
      </c>
      <c r="M89" cm="1">
        <f t="array" aca="1" ref="M89" ca="1">_xlfn.XLOOKUP(TEXT(A89, "mmm-yy"), TEXT([2]RUNS!$B$5:$B$208, "mmm-yy"), [2]RUNS!$BM$5:$BM$208, "Not Found")</f>
        <v>0.80612045967097878</v>
      </c>
    </row>
    <row r="90" spans="1:13" x14ac:dyDescent="0.25">
      <c r="A90" s="1">
        <f t="shared" ca="1" si="3"/>
        <v>45937</v>
      </c>
      <c r="B90" cm="1">
        <f t="array" aca="1" ref="B90" ca="1">_xlfn.XLOOKUP(TEXT(A90, "mmm-yy"), TEXT([1]Monthly!$C:$C, "mmm-yy"), [1]Monthly!$O:$O, "Not Found")</f>
        <v>67.352164742720163</v>
      </c>
      <c r="C90" cm="1">
        <f t="array" aca="1" ref="C90" ca="1">_xlfn.XLOOKUP(TEXT(A90, "mmm-yy"), TEXT([1]Monthly!$C:$C, "mmm-yy"), [1]Monthly!$P:$P, "Not Found")</f>
        <v>66.991392324078362</v>
      </c>
      <c r="D90" cm="1">
        <f t="array" aca="1" ref="D90" ca="1">_xlfn.XLOOKUP(TEXT(A90, "mmm-yy"), TEXT([1]Monthly!$C:$C, "mmm-yy"), [1]Monthly!$R:$R, "Not Found")</f>
        <v>62.799554262716029</v>
      </c>
      <c r="E90" cm="1">
        <f t="array" aca="1" ref="E90" ca="1">_xlfn.XLOOKUP(TEXT(A90, "mmm-yy"), TEXT([1]Monthly!$C:$C, "mmm-yy"), [1]Monthly!$S:$S, "Not Found")</f>
        <v>73.692164742720166</v>
      </c>
      <c r="F90" cm="1">
        <f t="array" aca="1" ref="F90" ca="1">_xlfn.XLOOKUP(TEXT(A90, "mmm-yy"), TEXT([2]RUNS!$B$5:$B$208, "mmm-yy"), [2]RUNS!$D$5:$D$208, "Not Found")</f>
        <v>30196.546910861165</v>
      </c>
      <c r="G90">
        <f>AVERAGE([3]Sheet1!$H2312,[3]Sheet1!$H2574)</f>
        <v>13196.375</v>
      </c>
      <c r="H90">
        <f>AVERAGE([3]Sheet1!$I2312,[3]Sheet1!$I2574)</f>
        <v>0.58999999999999631</v>
      </c>
      <c r="I90" cm="1">
        <f t="array" aca="1" ref="I90" ca="1">_xlfn.XLOOKUP(TEXT(A90, "mmm-yy"), TEXT([2]GASOLINE!$B$5:$B$208, "mmm-yy"), [2]GASOLINE!$IR$5:$IR$208, "Not Found")</f>
        <v>-459.82900464317572</v>
      </c>
      <c r="J90" cm="1">
        <f t="array" aca="1" ref="J90" ca="1">_xlfn.XLOOKUP(TEXT(A90, "mmm-yy"), TEXT([2]GASOLINE!$B$5:$B$208, "mmm-yy"), [2]GASOLINE!$IK$5:$IK$208, "Not Found")</f>
        <v>321.95079755835258</v>
      </c>
      <c r="K90">
        <f t="shared" ca="1" si="2"/>
        <v>0</v>
      </c>
      <c r="L90" cm="1">
        <f t="array" aca="1" ref="L90" ca="1">_xlfn.XLOOKUP(TEXT(A90, "mmm-yy"), TEXT([2]GASOLINE!$B$5:$B$208, "mmm-yy"), [2]GASOLINE!$C$5:$C$208, "Not Found")</f>
        <v>8014.7416358039673</v>
      </c>
      <c r="M90" cm="1">
        <f t="array" aca="1" ref="M90" ca="1">_xlfn.XLOOKUP(TEXT(A90, "mmm-yy"), TEXT([2]RUNS!$B$5:$B$208, "mmm-yy"), [2]RUNS!$BM$5:$BM$208, "Not Found")</f>
        <v>0.80612045967097878</v>
      </c>
    </row>
    <row r="91" spans="1:13" x14ac:dyDescent="0.25">
      <c r="A91" s="1">
        <f t="shared" ca="1" si="3"/>
        <v>45938</v>
      </c>
      <c r="B91" cm="1">
        <f t="array" aca="1" ref="B91" ca="1">_xlfn.XLOOKUP(TEXT(A91, "mmm-yy"), TEXT([1]Monthly!$C:$C, "mmm-yy"), [1]Monthly!$O:$O, "Not Found")</f>
        <v>67.352164742720163</v>
      </c>
      <c r="C91" cm="1">
        <f t="array" aca="1" ref="C91" ca="1">_xlfn.XLOOKUP(TEXT(A91, "mmm-yy"), TEXT([1]Monthly!$C:$C, "mmm-yy"), [1]Monthly!$P:$P, "Not Found")</f>
        <v>66.991392324078362</v>
      </c>
      <c r="D91" cm="1">
        <f t="array" aca="1" ref="D91" ca="1">_xlfn.XLOOKUP(TEXT(A91, "mmm-yy"), TEXT([1]Monthly!$C:$C, "mmm-yy"), [1]Monthly!$R:$R, "Not Found")</f>
        <v>62.799554262716029</v>
      </c>
      <c r="E91" cm="1">
        <f t="array" aca="1" ref="E91" ca="1">_xlfn.XLOOKUP(TEXT(A91, "mmm-yy"), TEXT([1]Monthly!$C:$C, "mmm-yy"), [1]Monthly!$S:$S, "Not Found")</f>
        <v>73.692164742720166</v>
      </c>
      <c r="F91" cm="1">
        <f t="array" aca="1" ref="F91" ca="1">_xlfn.XLOOKUP(TEXT(A91, "mmm-yy"), TEXT([2]RUNS!$B$5:$B$208, "mmm-yy"), [2]RUNS!$D$5:$D$208, "Not Found")</f>
        <v>30196.546910861165</v>
      </c>
      <c r="G91">
        <f>AVERAGE([3]Sheet1!$H2313,[3]Sheet1!$H2575)</f>
        <v>13196.375</v>
      </c>
      <c r="H91">
        <f>AVERAGE([3]Sheet1!$I2313,[3]Sheet1!$I2575)</f>
        <v>0.67999999999999972</v>
      </c>
      <c r="I91" cm="1">
        <f t="array" aca="1" ref="I91" ca="1">_xlfn.XLOOKUP(TEXT(A91, "mmm-yy"), TEXT([2]GASOLINE!$B$5:$B$208, "mmm-yy"), [2]GASOLINE!$IR$5:$IR$208, "Not Found")</f>
        <v>-459.82900464317572</v>
      </c>
      <c r="J91" cm="1">
        <f t="array" aca="1" ref="J91" ca="1">_xlfn.XLOOKUP(TEXT(A91, "mmm-yy"), TEXT([2]GASOLINE!$B$5:$B$208, "mmm-yy"), [2]GASOLINE!$IK$5:$IK$208, "Not Found")</f>
        <v>321.95079755835258</v>
      </c>
      <c r="K91">
        <f t="shared" ca="1" si="2"/>
        <v>0</v>
      </c>
      <c r="L91" cm="1">
        <f t="array" aca="1" ref="L91" ca="1">_xlfn.XLOOKUP(TEXT(A91, "mmm-yy"), TEXT([2]GASOLINE!$B$5:$B$208, "mmm-yy"), [2]GASOLINE!$C$5:$C$208, "Not Found")</f>
        <v>8014.7416358039673</v>
      </c>
      <c r="M91" cm="1">
        <f t="array" aca="1" ref="M91" ca="1">_xlfn.XLOOKUP(TEXT(A91, "mmm-yy"), TEXT([2]RUNS!$B$5:$B$208, "mmm-yy"), [2]RUNS!$BM$5:$BM$208, "Not Found")</f>
        <v>0.80612045967097878</v>
      </c>
    </row>
    <row r="92" spans="1:13" x14ac:dyDescent="0.25">
      <c r="A92" s="1">
        <f t="shared" ca="1" si="3"/>
        <v>45939</v>
      </c>
      <c r="B92" cm="1">
        <f t="array" aca="1" ref="B92" ca="1">_xlfn.XLOOKUP(TEXT(A92, "mmm-yy"), TEXT([1]Monthly!$C:$C, "mmm-yy"), [1]Monthly!$O:$O, "Not Found")</f>
        <v>67.352164742720163</v>
      </c>
      <c r="C92" cm="1">
        <f t="array" aca="1" ref="C92" ca="1">_xlfn.XLOOKUP(TEXT(A92, "mmm-yy"), TEXT([1]Monthly!$C:$C, "mmm-yy"), [1]Monthly!$P:$P, "Not Found")</f>
        <v>66.991392324078362</v>
      </c>
      <c r="D92" cm="1">
        <f t="array" aca="1" ref="D92" ca="1">_xlfn.XLOOKUP(TEXT(A92, "mmm-yy"), TEXT([1]Monthly!$C:$C, "mmm-yy"), [1]Monthly!$R:$R, "Not Found")</f>
        <v>62.799554262716029</v>
      </c>
      <c r="E92" cm="1">
        <f t="array" aca="1" ref="E92" ca="1">_xlfn.XLOOKUP(TEXT(A92, "mmm-yy"), TEXT([1]Monthly!$C:$C, "mmm-yy"), [1]Monthly!$S:$S, "Not Found")</f>
        <v>73.692164742720166</v>
      </c>
      <c r="F92" cm="1">
        <f t="array" aca="1" ref="F92" ca="1">_xlfn.XLOOKUP(TEXT(A92, "mmm-yy"), TEXT([2]RUNS!$B$5:$B$208, "mmm-yy"), [2]RUNS!$D$5:$D$208, "Not Found")</f>
        <v>30196.546910861165</v>
      </c>
      <c r="G92">
        <f>AVERAGE([3]Sheet1!$H2314,[3]Sheet1!$H2576)</f>
        <v>13196.375</v>
      </c>
      <c r="H92">
        <f>AVERAGE([3]Sheet1!$I2314,[3]Sheet1!$I2576)</f>
        <v>0.63500000000000512</v>
      </c>
      <c r="I92" cm="1">
        <f t="array" aca="1" ref="I92" ca="1">_xlfn.XLOOKUP(TEXT(A92, "mmm-yy"), TEXT([2]GASOLINE!$B$5:$B$208, "mmm-yy"), [2]GASOLINE!$IR$5:$IR$208, "Not Found")</f>
        <v>-459.82900464317572</v>
      </c>
      <c r="J92" cm="1">
        <f t="array" aca="1" ref="J92" ca="1">_xlfn.XLOOKUP(TEXT(A92, "mmm-yy"), TEXT([2]GASOLINE!$B$5:$B$208, "mmm-yy"), [2]GASOLINE!$IK$5:$IK$208, "Not Found")</f>
        <v>321.95079755835258</v>
      </c>
      <c r="K92">
        <f t="shared" ca="1" si="2"/>
        <v>0</v>
      </c>
      <c r="L92" cm="1">
        <f t="array" aca="1" ref="L92" ca="1">_xlfn.XLOOKUP(TEXT(A92, "mmm-yy"), TEXT([2]GASOLINE!$B$5:$B$208, "mmm-yy"), [2]GASOLINE!$C$5:$C$208, "Not Found")</f>
        <v>8014.7416358039673</v>
      </c>
      <c r="M92" cm="1">
        <f t="array" aca="1" ref="M92" ca="1">_xlfn.XLOOKUP(TEXT(A92, "mmm-yy"), TEXT([2]RUNS!$B$5:$B$208, "mmm-yy"), [2]RUNS!$BM$5:$BM$208, "Not Found")</f>
        <v>0.80612045967097878</v>
      </c>
    </row>
    <row r="93" spans="1:13" x14ac:dyDescent="0.25">
      <c r="A93" s="1">
        <f t="shared" ca="1" si="3"/>
        <v>45940</v>
      </c>
      <c r="B93" cm="1">
        <f t="array" aca="1" ref="B93" ca="1">_xlfn.XLOOKUP(TEXT(A93, "mmm-yy"), TEXT([1]Monthly!$C:$C, "mmm-yy"), [1]Monthly!$O:$O, "Not Found")</f>
        <v>67.352164742720163</v>
      </c>
      <c r="C93" cm="1">
        <f t="array" aca="1" ref="C93" ca="1">_xlfn.XLOOKUP(TEXT(A93, "mmm-yy"), TEXT([1]Monthly!$C:$C, "mmm-yy"), [1]Monthly!$P:$P, "Not Found")</f>
        <v>66.991392324078362</v>
      </c>
      <c r="D93" cm="1">
        <f t="array" aca="1" ref="D93" ca="1">_xlfn.XLOOKUP(TEXT(A93, "mmm-yy"), TEXT([1]Monthly!$C:$C, "mmm-yy"), [1]Monthly!$R:$R, "Not Found")</f>
        <v>62.799554262716029</v>
      </c>
      <c r="E93" cm="1">
        <f t="array" aca="1" ref="E93" ca="1">_xlfn.XLOOKUP(TEXT(A93, "mmm-yy"), TEXT([1]Monthly!$C:$C, "mmm-yy"), [1]Monthly!$S:$S, "Not Found")</f>
        <v>73.692164742720166</v>
      </c>
      <c r="F93" cm="1">
        <f t="array" aca="1" ref="F93" ca="1">_xlfn.XLOOKUP(TEXT(A93, "mmm-yy"), TEXT([2]RUNS!$B$5:$B$208, "mmm-yy"), [2]RUNS!$D$5:$D$208, "Not Found")</f>
        <v>30196.546910861165</v>
      </c>
      <c r="G93">
        <f>AVERAGE([3]Sheet1!$H2315,[3]Sheet1!$H2577)</f>
        <v>13196.375</v>
      </c>
      <c r="H93">
        <f>AVERAGE([3]Sheet1!$I2315,[3]Sheet1!$I2577)</f>
        <v>0.63000000000000256</v>
      </c>
      <c r="I93" cm="1">
        <f t="array" aca="1" ref="I93" ca="1">_xlfn.XLOOKUP(TEXT(A93, "mmm-yy"), TEXT([2]GASOLINE!$B$5:$B$208, "mmm-yy"), [2]GASOLINE!$IR$5:$IR$208, "Not Found")</f>
        <v>-459.82900464317572</v>
      </c>
      <c r="J93" cm="1">
        <f t="array" aca="1" ref="J93" ca="1">_xlfn.XLOOKUP(TEXT(A93, "mmm-yy"), TEXT([2]GASOLINE!$B$5:$B$208, "mmm-yy"), [2]GASOLINE!$IK$5:$IK$208, "Not Found")</f>
        <v>321.95079755835258</v>
      </c>
      <c r="K93">
        <f t="shared" ca="1" si="2"/>
        <v>0</v>
      </c>
      <c r="L93" cm="1">
        <f t="array" aca="1" ref="L93" ca="1">_xlfn.XLOOKUP(TEXT(A93, "mmm-yy"), TEXT([2]GASOLINE!$B$5:$B$208, "mmm-yy"), [2]GASOLINE!$C$5:$C$208, "Not Found")</f>
        <v>8014.7416358039673</v>
      </c>
      <c r="M93" cm="1">
        <f t="array" aca="1" ref="M93" ca="1">_xlfn.XLOOKUP(TEXT(A93, "mmm-yy"), TEXT([2]RUNS!$B$5:$B$208, "mmm-yy"), [2]RUNS!$BM$5:$BM$208, "Not Found")</f>
        <v>0.80612045967097878</v>
      </c>
    </row>
    <row r="94" spans="1:13" x14ac:dyDescent="0.25">
      <c r="A94" s="1">
        <f t="shared" ca="1" si="3"/>
        <v>45941</v>
      </c>
      <c r="B94" cm="1">
        <f t="array" aca="1" ref="B94" ca="1">_xlfn.XLOOKUP(TEXT(A94, "mmm-yy"), TEXT([1]Monthly!$C:$C, "mmm-yy"), [1]Monthly!$O:$O, "Not Found")</f>
        <v>67.352164742720163</v>
      </c>
      <c r="C94" cm="1">
        <f t="array" aca="1" ref="C94" ca="1">_xlfn.XLOOKUP(TEXT(A94, "mmm-yy"), TEXT([1]Monthly!$C:$C, "mmm-yy"), [1]Monthly!$P:$P, "Not Found")</f>
        <v>66.991392324078362</v>
      </c>
      <c r="D94" cm="1">
        <f t="array" aca="1" ref="D94" ca="1">_xlfn.XLOOKUP(TEXT(A94, "mmm-yy"), TEXT([1]Monthly!$C:$C, "mmm-yy"), [1]Monthly!$R:$R, "Not Found")</f>
        <v>62.799554262716029</v>
      </c>
      <c r="E94" cm="1">
        <f t="array" aca="1" ref="E94" ca="1">_xlfn.XLOOKUP(TEXT(A94, "mmm-yy"), TEXT([1]Monthly!$C:$C, "mmm-yy"), [1]Monthly!$S:$S, "Not Found")</f>
        <v>73.692164742720166</v>
      </c>
      <c r="F94" cm="1">
        <f t="array" aca="1" ref="F94" ca="1">_xlfn.XLOOKUP(TEXT(A94, "mmm-yy"), TEXT([2]RUNS!$B$5:$B$208, "mmm-yy"), [2]RUNS!$D$5:$D$208, "Not Found")</f>
        <v>30196.546910861165</v>
      </c>
      <c r="G94">
        <f>AVERAGE([3]Sheet1!$H2316,[3]Sheet1!$H2578)</f>
        <v>13196.375</v>
      </c>
      <c r="H94">
        <f>AVERAGE([3]Sheet1!$I2316,[3]Sheet1!$I2578)</f>
        <v>0.50999999999999801</v>
      </c>
      <c r="I94" cm="1">
        <f t="array" aca="1" ref="I94" ca="1">_xlfn.XLOOKUP(TEXT(A94, "mmm-yy"), TEXT([2]GASOLINE!$B$5:$B$208, "mmm-yy"), [2]GASOLINE!$IR$5:$IR$208, "Not Found")</f>
        <v>-459.82900464317572</v>
      </c>
      <c r="J94" cm="1">
        <f t="array" aca="1" ref="J94" ca="1">_xlfn.XLOOKUP(TEXT(A94, "mmm-yy"), TEXT([2]GASOLINE!$B$5:$B$208, "mmm-yy"), [2]GASOLINE!$IK$5:$IK$208, "Not Found")</f>
        <v>321.95079755835258</v>
      </c>
      <c r="K94">
        <f t="shared" ca="1" si="2"/>
        <v>0</v>
      </c>
      <c r="L94" cm="1">
        <f t="array" aca="1" ref="L94" ca="1">_xlfn.XLOOKUP(TEXT(A94, "mmm-yy"), TEXT([2]GASOLINE!$B$5:$B$208, "mmm-yy"), [2]GASOLINE!$C$5:$C$208, "Not Found")</f>
        <v>8014.7416358039673</v>
      </c>
      <c r="M94" cm="1">
        <f t="array" aca="1" ref="M94" ca="1">_xlfn.XLOOKUP(TEXT(A94, "mmm-yy"), TEXT([2]RUNS!$B$5:$B$208, "mmm-yy"), [2]RUNS!$BM$5:$BM$208, "Not Found")</f>
        <v>0.80612045967097878</v>
      </c>
    </row>
    <row r="95" spans="1:13" x14ac:dyDescent="0.25">
      <c r="A95" s="1">
        <f t="shared" ca="1" si="3"/>
        <v>45942</v>
      </c>
      <c r="B95" cm="1">
        <f t="array" aca="1" ref="B95" ca="1">_xlfn.XLOOKUP(TEXT(A95, "mmm-yy"), TEXT([1]Monthly!$C:$C, "mmm-yy"), [1]Monthly!$O:$O, "Not Found")</f>
        <v>67.352164742720163</v>
      </c>
      <c r="C95" cm="1">
        <f t="array" aca="1" ref="C95" ca="1">_xlfn.XLOOKUP(TEXT(A95, "mmm-yy"), TEXT([1]Monthly!$C:$C, "mmm-yy"), [1]Monthly!$P:$P, "Not Found")</f>
        <v>66.991392324078362</v>
      </c>
      <c r="D95" cm="1">
        <f t="array" aca="1" ref="D95" ca="1">_xlfn.XLOOKUP(TEXT(A95, "mmm-yy"), TEXT([1]Monthly!$C:$C, "mmm-yy"), [1]Monthly!$R:$R, "Not Found")</f>
        <v>62.799554262716029</v>
      </c>
      <c r="E95" cm="1">
        <f t="array" aca="1" ref="E95" ca="1">_xlfn.XLOOKUP(TEXT(A95, "mmm-yy"), TEXT([1]Monthly!$C:$C, "mmm-yy"), [1]Monthly!$S:$S, "Not Found")</f>
        <v>73.692164742720166</v>
      </c>
      <c r="F95" cm="1">
        <f t="array" aca="1" ref="F95" ca="1">_xlfn.XLOOKUP(TEXT(A95, "mmm-yy"), TEXT([2]RUNS!$B$5:$B$208, "mmm-yy"), [2]RUNS!$D$5:$D$208, "Not Found")</f>
        <v>30196.546910861165</v>
      </c>
      <c r="G95">
        <f>AVERAGE([3]Sheet1!$H2317,[3]Sheet1!$H2579)</f>
        <v>13196.375</v>
      </c>
      <c r="H95">
        <f>AVERAGE([3]Sheet1!$I2317,[3]Sheet1!$I2579)</f>
        <v>0.59499999999999886</v>
      </c>
      <c r="I95" cm="1">
        <f t="array" aca="1" ref="I95" ca="1">_xlfn.XLOOKUP(TEXT(A95, "mmm-yy"), TEXT([2]GASOLINE!$B$5:$B$208, "mmm-yy"), [2]GASOLINE!$IR$5:$IR$208, "Not Found")</f>
        <v>-459.82900464317572</v>
      </c>
      <c r="J95" cm="1">
        <f t="array" aca="1" ref="J95" ca="1">_xlfn.XLOOKUP(TEXT(A95, "mmm-yy"), TEXT([2]GASOLINE!$B$5:$B$208, "mmm-yy"), [2]GASOLINE!$IK$5:$IK$208, "Not Found")</f>
        <v>321.95079755835258</v>
      </c>
      <c r="K95">
        <f t="shared" ca="1" si="2"/>
        <v>0</v>
      </c>
      <c r="L95" cm="1">
        <f t="array" aca="1" ref="L95" ca="1">_xlfn.XLOOKUP(TEXT(A95, "mmm-yy"), TEXT([2]GASOLINE!$B$5:$B$208, "mmm-yy"), [2]GASOLINE!$C$5:$C$208, "Not Found")</f>
        <v>8014.7416358039673</v>
      </c>
      <c r="M95" cm="1">
        <f t="array" aca="1" ref="M95" ca="1">_xlfn.XLOOKUP(TEXT(A95, "mmm-yy"), TEXT([2]RUNS!$B$5:$B$208, "mmm-yy"), [2]RUNS!$BM$5:$BM$208, "Not Found")</f>
        <v>0.80612045967097878</v>
      </c>
    </row>
    <row r="96" spans="1:13" x14ac:dyDescent="0.25">
      <c r="A96" s="1">
        <f t="shared" ca="1" si="3"/>
        <v>45943</v>
      </c>
      <c r="B96" cm="1">
        <f t="array" aca="1" ref="B96" ca="1">_xlfn.XLOOKUP(TEXT(A96, "mmm-yy"), TEXT([1]Monthly!$C:$C, "mmm-yy"), [1]Monthly!$O:$O, "Not Found")</f>
        <v>67.352164742720163</v>
      </c>
      <c r="C96" cm="1">
        <f t="array" aca="1" ref="C96" ca="1">_xlfn.XLOOKUP(TEXT(A96, "mmm-yy"), TEXT([1]Monthly!$C:$C, "mmm-yy"), [1]Monthly!$P:$P, "Not Found")</f>
        <v>66.991392324078362</v>
      </c>
      <c r="D96" cm="1">
        <f t="array" aca="1" ref="D96" ca="1">_xlfn.XLOOKUP(TEXT(A96, "mmm-yy"), TEXT([1]Monthly!$C:$C, "mmm-yy"), [1]Monthly!$R:$R, "Not Found")</f>
        <v>62.799554262716029</v>
      </c>
      <c r="E96" cm="1">
        <f t="array" aca="1" ref="E96" ca="1">_xlfn.XLOOKUP(TEXT(A96, "mmm-yy"), TEXT([1]Monthly!$C:$C, "mmm-yy"), [1]Monthly!$S:$S, "Not Found")</f>
        <v>73.692164742720166</v>
      </c>
      <c r="F96" cm="1">
        <f t="array" aca="1" ref="F96" ca="1">_xlfn.XLOOKUP(TEXT(A96, "mmm-yy"), TEXT([2]RUNS!$B$5:$B$208, "mmm-yy"), [2]RUNS!$D$5:$D$208, "Not Found")</f>
        <v>30196.546910861165</v>
      </c>
      <c r="G96">
        <f>AVERAGE([3]Sheet1!$H2318,[3]Sheet1!$H2580)</f>
        <v>13196.375</v>
      </c>
      <c r="H96">
        <f>AVERAGE([3]Sheet1!$I2318,[3]Sheet1!$I2580)</f>
        <v>0.30500000000000682</v>
      </c>
      <c r="I96" cm="1">
        <f t="array" aca="1" ref="I96" ca="1">_xlfn.XLOOKUP(TEXT(A96, "mmm-yy"), TEXT([2]GASOLINE!$B$5:$B$208, "mmm-yy"), [2]GASOLINE!$IR$5:$IR$208, "Not Found")</f>
        <v>-459.82900464317572</v>
      </c>
      <c r="J96" cm="1">
        <f t="array" aca="1" ref="J96" ca="1">_xlfn.XLOOKUP(TEXT(A96, "mmm-yy"), TEXT([2]GASOLINE!$B$5:$B$208, "mmm-yy"), [2]GASOLINE!$IK$5:$IK$208, "Not Found")</f>
        <v>321.95079755835258</v>
      </c>
      <c r="K96">
        <f t="shared" ca="1" si="2"/>
        <v>0</v>
      </c>
      <c r="L96" cm="1">
        <f t="array" aca="1" ref="L96" ca="1">_xlfn.XLOOKUP(TEXT(A96, "mmm-yy"), TEXT([2]GASOLINE!$B$5:$B$208, "mmm-yy"), [2]GASOLINE!$C$5:$C$208, "Not Found")</f>
        <v>8014.7416358039673</v>
      </c>
      <c r="M96" cm="1">
        <f t="array" aca="1" ref="M96" ca="1">_xlfn.XLOOKUP(TEXT(A96, "mmm-yy"), TEXT([2]RUNS!$B$5:$B$208, "mmm-yy"), [2]RUNS!$BM$5:$BM$208, "Not Found")</f>
        <v>0.80612045967097878</v>
      </c>
    </row>
    <row r="97" spans="1:13" x14ac:dyDescent="0.25">
      <c r="A97" s="1">
        <f t="shared" ca="1" si="3"/>
        <v>45944</v>
      </c>
      <c r="B97" cm="1">
        <f t="array" aca="1" ref="B97" ca="1">_xlfn.XLOOKUP(TEXT(A97, "mmm-yy"), TEXT([1]Monthly!$C:$C, "mmm-yy"), [1]Monthly!$O:$O, "Not Found")</f>
        <v>67.352164742720163</v>
      </c>
      <c r="C97" cm="1">
        <f t="array" aca="1" ref="C97" ca="1">_xlfn.XLOOKUP(TEXT(A97, "mmm-yy"), TEXT([1]Monthly!$C:$C, "mmm-yy"), [1]Monthly!$P:$P, "Not Found")</f>
        <v>66.991392324078362</v>
      </c>
      <c r="D97" cm="1">
        <f t="array" aca="1" ref="D97" ca="1">_xlfn.XLOOKUP(TEXT(A97, "mmm-yy"), TEXT([1]Monthly!$C:$C, "mmm-yy"), [1]Monthly!$R:$R, "Not Found")</f>
        <v>62.799554262716029</v>
      </c>
      <c r="E97" cm="1">
        <f t="array" aca="1" ref="E97" ca="1">_xlfn.XLOOKUP(TEXT(A97, "mmm-yy"), TEXT([1]Monthly!$C:$C, "mmm-yy"), [1]Monthly!$S:$S, "Not Found")</f>
        <v>73.692164742720166</v>
      </c>
      <c r="F97" cm="1">
        <f t="array" aca="1" ref="F97" ca="1">_xlfn.XLOOKUP(TEXT(A97, "mmm-yy"), TEXT([2]RUNS!$B$5:$B$208, "mmm-yy"), [2]RUNS!$D$5:$D$208, "Not Found")</f>
        <v>30196.546910861165</v>
      </c>
      <c r="G97">
        <f>AVERAGE([3]Sheet1!$H2319,[3]Sheet1!$H2581)</f>
        <v>13196.375</v>
      </c>
      <c r="H97">
        <f>AVERAGE([3]Sheet1!$I2319,[3]Sheet1!$I2581)</f>
        <v>0.35500000000000398</v>
      </c>
      <c r="I97" cm="1">
        <f t="array" aca="1" ref="I97" ca="1">_xlfn.XLOOKUP(TEXT(A97, "mmm-yy"), TEXT([2]GASOLINE!$B$5:$B$208, "mmm-yy"), [2]GASOLINE!$IR$5:$IR$208, "Not Found")</f>
        <v>-459.82900464317572</v>
      </c>
      <c r="J97" cm="1">
        <f t="array" aca="1" ref="J97" ca="1">_xlfn.XLOOKUP(TEXT(A97, "mmm-yy"), TEXT([2]GASOLINE!$B$5:$B$208, "mmm-yy"), [2]GASOLINE!$IK$5:$IK$208, "Not Found")</f>
        <v>321.95079755835258</v>
      </c>
      <c r="K97">
        <f t="shared" ca="1" si="2"/>
        <v>0</v>
      </c>
      <c r="L97" cm="1">
        <f t="array" aca="1" ref="L97" ca="1">_xlfn.XLOOKUP(TEXT(A97, "mmm-yy"), TEXT([2]GASOLINE!$B$5:$B$208, "mmm-yy"), [2]GASOLINE!$C$5:$C$208, "Not Found")</f>
        <v>8014.7416358039673</v>
      </c>
      <c r="M97" cm="1">
        <f t="array" aca="1" ref="M97" ca="1">_xlfn.XLOOKUP(TEXT(A97, "mmm-yy"), TEXT([2]RUNS!$B$5:$B$208, "mmm-yy"), [2]RUNS!$BM$5:$BM$208, "Not Found")</f>
        <v>0.80612045967097878</v>
      </c>
    </row>
    <row r="98" spans="1:13" x14ac:dyDescent="0.25">
      <c r="A98" s="1">
        <f t="shared" ca="1" si="3"/>
        <v>45945</v>
      </c>
      <c r="B98" cm="1">
        <f t="array" aca="1" ref="B98" ca="1">_xlfn.XLOOKUP(TEXT(A98, "mmm-yy"), TEXT([1]Monthly!$C:$C, "mmm-yy"), [1]Monthly!$O:$O, "Not Found")</f>
        <v>67.352164742720163</v>
      </c>
      <c r="C98" cm="1">
        <f t="array" aca="1" ref="C98" ca="1">_xlfn.XLOOKUP(TEXT(A98, "mmm-yy"), TEXT([1]Monthly!$C:$C, "mmm-yy"), [1]Monthly!$P:$P, "Not Found")</f>
        <v>66.991392324078362</v>
      </c>
      <c r="D98" cm="1">
        <f t="array" aca="1" ref="D98" ca="1">_xlfn.XLOOKUP(TEXT(A98, "mmm-yy"), TEXT([1]Monthly!$C:$C, "mmm-yy"), [1]Monthly!$R:$R, "Not Found")</f>
        <v>62.799554262716029</v>
      </c>
      <c r="E98" cm="1">
        <f t="array" aca="1" ref="E98" ca="1">_xlfn.XLOOKUP(TEXT(A98, "mmm-yy"), TEXT([1]Monthly!$C:$C, "mmm-yy"), [1]Monthly!$S:$S, "Not Found")</f>
        <v>73.692164742720166</v>
      </c>
      <c r="F98" cm="1">
        <f t="array" aca="1" ref="F98" ca="1">_xlfn.XLOOKUP(TEXT(A98, "mmm-yy"), TEXT([2]RUNS!$B$5:$B$208, "mmm-yy"), [2]RUNS!$D$5:$D$208, "Not Found")</f>
        <v>30196.546910861165</v>
      </c>
      <c r="G98">
        <f>AVERAGE([3]Sheet1!$H2320,[3]Sheet1!$H2582)</f>
        <v>13196.375</v>
      </c>
      <c r="H98">
        <f>AVERAGE([3]Sheet1!$I2320,[3]Sheet1!$I2582)</f>
        <v>0.40000000000000568</v>
      </c>
      <c r="I98" cm="1">
        <f t="array" aca="1" ref="I98" ca="1">_xlfn.XLOOKUP(TEXT(A98, "mmm-yy"), TEXT([2]GASOLINE!$B$5:$B$208, "mmm-yy"), [2]GASOLINE!$IR$5:$IR$208, "Not Found")</f>
        <v>-459.82900464317572</v>
      </c>
      <c r="J98" cm="1">
        <f t="array" aca="1" ref="J98" ca="1">_xlfn.XLOOKUP(TEXT(A98, "mmm-yy"), TEXT([2]GASOLINE!$B$5:$B$208, "mmm-yy"), [2]GASOLINE!$IK$5:$IK$208, "Not Found")</f>
        <v>321.95079755835258</v>
      </c>
      <c r="K98">
        <f t="shared" ca="1" si="2"/>
        <v>0</v>
      </c>
      <c r="L98" cm="1">
        <f t="array" aca="1" ref="L98" ca="1">_xlfn.XLOOKUP(TEXT(A98, "mmm-yy"), TEXT([2]GASOLINE!$B$5:$B$208, "mmm-yy"), [2]GASOLINE!$C$5:$C$208, "Not Found")</f>
        <v>8014.7416358039673</v>
      </c>
      <c r="M98" cm="1">
        <f t="array" aca="1" ref="M98" ca="1">_xlfn.XLOOKUP(TEXT(A98, "mmm-yy"), TEXT([2]RUNS!$B$5:$B$208, "mmm-yy"), [2]RUNS!$BM$5:$BM$208, "Not Found")</f>
        <v>0.80612045967097878</v>
      </c>
    </row>
    <row r="99" spans="1:13" x14ac:dyDescent="0.25">
      <c r="A99" s="1">
        <f t="shared" ca="1" si="3"/>
        <v>45946</v>
      </c>
      <c r="B99" cm="1">
        <f t="array" aca="1" ref="B99" ca="1">_xlfn.XLOOKUP(TEXT(A99, "mmm-yy"), TEXT([1]Monthly!$C:$C, "mmm-yy"), [1]Monthly!$O:$O, "Not Found")</f>
        <v>67.352164742720163</v>
      </c>
      <c r="C99" cm="1">
        <f t="array" aca="1" ref="C99" ca="1">_xlfn.XLOOKUP(TEXT(A99, "mmm-yy"), TEXT([1]Monthly!$C:$C, "mmm-yy"), [1]Monthly!$P:$P, "Not Found")</f>
        <v>66.991392324078362</v>
      </c>
      <c r="D99" cm="1">
        <f t="array" aca="1" ref="D99" ca="1">_xlfn.XLOOKUP(TEXT(A99, "mmm-yy"), TEXT([1]Monthly!$C:$C, "mmm-yy"), [1]Monthly!$R:$R, "Not Found")</f>
        <v>62.799554262716029</v>
      </c>
      <c r="E99" cm="1">
        <f t="array" aca="1" ref="E99" ca="1">_xlfn.XLOOKUP(TEXT(A99, "mmm-yy"), TEXT([1]Monthly!$C:$C, "mmm-yy"), [1]Monthly!$S:$S, "Not Found")</f>
        <v>73.692164742720166</v>
      </c>
      <c r="F99" cm="1">
        <f t="array" aca="1" ref="F99" ca="1">_xlfn.XLOOKUP(TEXT(A99, "mmm-yy"), TEXT([2]RUNS!$B$5:$B$208, "mmm-yy"), [2]RUNS!$D$5:$D$208, "Not Found")</f>
        <v>30196.546910861165</v>
      </c>
      <c r="G99">
        <f>AVERAGE([3]Sheet1!$H2321,[3]Sheet1!$H2583)</f>
        <v>13196.375</v>
      </c>
      <c r="H99">
        <f>AVERAGE([3]Sheet1!$I2321,[3]Sheet1!$I2583)</f>
        <v>0.39500000000000313</v>
      </c>
      <c r="I99" cm="1">
        <f t="array" aca="1" ref="I99" ca="1">_xlfn.XLOOKUP(TEXT(A99, "mmm-yy"), TEXT([2]GASOLINE!$B$5:$B$208, "mmm-yy"), [2]GASOLINE!$IR$5:$IR$208, "Not Found")</f>
        <v>-459.82900464317572</v>
      </c>
      <c r="J99" cm="1">
        <f t="array" aca="1" ref="J99" ca="1">_xlfn.XLOOKUP(TEXT(A99, "mmm-yy"), TEXT([2]GASOLINE!$B$5:$B$208, "mmm-yy"), [2]GASOLINE!$IK$5:$IK$208, "Not Found")</f>
        <v>321.95079755835258</v>
      </c>
      <c r="K99">
        <f t="shared" ca="1" si="2"/>
        <v>0</v>
      </c>
      <c r="L99" cm="1">
        <f t="array" aca="1" ref="L99" ca="1">_xlfn.XLOOKUP(TEXT(A99, "mmm-yy"), TEXT([2]GASOLINE!$B$5:$B$208, "mmm-yy"), [2]GASOLINE!$C$5:$C$208, "Not Found")</f>
        <v>8014.7416358039673</v>
      </c>
      <c r="M99" cm="1">
        <f t="array" aca="1" ref="M99" ca="1">_xlfn.XLOOKUP(TEXT(A99, "mmm-yy"), TEXT([2]RUNS!$B$5:$B$208, "mmm-yy"), [2]RUNS!$BM$5:$BM$208, "Not Found")</f>
        <v>0.80612045967097878</v>
      </c>
    </row>
    <row r="100" spans="1:13" x14ac:dyDescent="0.25">
      <c r="A100" s="1">
        <f t="shared" ca="1" si="3"/>
        <v>45947</v>
      </c>
      <c r="B100" cm="1">
        <f t="array" aca="1" ref="B100" ca="1">_xlfn.XLOOKUP(TEXT(A100, "mmm-yy"), TEXT([1]Monthly!$C:$C, "mmm-yy"), [1]Monthly!$O:$O, "Not Found")</f>
        <v>67.352164742720163</v>
      </c>
      <c r="C100" cm="1">
        <f t="array" aca="1" ref="C100" ca="1">_xlfn.XLOOKUP(TEXT(A100, "mmm-yy"), TEXT([1]Monthly!$C:$C, "mmm-yy"), [1]Monthly!$P:$P, "Not Found")</f>
        <v>66.991392324078362</v>
      </c>
      <c r="D100" cm="1">
        <f t="array" aca="1" ref="D100" ca="1">_xlfn.XLOOKUP(TEXT(A100, "mmm-yy"), TEXT([1]Monthly!$C:$C, "mmm-yy"), [1]Monthly!$R:$R, "Not Found")</f>
        <v>62.799554262716029</v>
      </c>
      <c r="E100" cm="1">
        <f t="array" aca="1" ref="E100" ca="1">_xlfn.XLOOKUP(TEXT(A100, "mmm-yy"), TEXT([1]Monthly!$C:$C, "mmm-yy"), [1]Monthly!$S:$S, "Not Found")</f>
        <v>73.692164742720166</v>
      </c>
      <c r="F100" cm="1">
        <f t="array" aca="1" ref="F100" ca="1">_xlfn.XLOOKUP(TEXT(A100, "mmm-yy"), TEXT([2]RUNS!$B$5:$B$208, "mmm-yy"), [2]RUNS!$D$5:$D$208, "Not Found")</f>
        <v>30196.546910861165</v>
      </c>
      <c r="G100">
        <f>AVERAGE([3]Sheet1!$H2322,[3]Sheet1!$H2584)</f>
        <v>13196.375</v>
      </c>
      <c r="H100">
        <f>AVERAGE([3]Sheet1!$I2322,[3]Sheet1!$I2584)</f>
        <v>0.46499999999999631</v>
      </c>
      <c r="I100" cm="1">
        <f t="array" aca="1" ref="I100" ca="1">_xlfn.XLOOKUP(TEXT(A100, "mmm-yy"), TEXT([2]GASOLINE!$B$5:$B$208, "mmm-yy"), [2]GASOLINE!$IR$5:$IR$208, "Not Found")</f>
        <v>-459.82900464317572</v>
      </c>
      <c r="J100" cm="1">
        <f t="array" aca="1" ref="J100" ca="1">_xlfn.XLOOKUP(TEXT(A100, "mmm-yy"), TEXT([2]GASOLINE!$B$5:$B$208, "mmm-yy"), [2]GASOLINE!$IK$5:$IK$208, "Not Found")</f>
        <v>321.95079755835258</v>
      </c>
      <c r="K100">
        <f t="shared" ca="1" si="2"/>
        <v>0</v>
      </c>
      <c r="L100" cm="1">
        <f t="array" aca="1" ref="L100" ca="1">_xlfn.XLOOKUP(TEXT(A100, "mmm-yy"), TEXT([2]GASOLINE!$B$5:$B$208, "mmm-yy"), [2]GASOLINE!$C$5:$C$208, "Not Found")</f>
        <v>8014.7416358039673</v>
      </c>
      <c r="M100" cm="1">
        <f t="array" aca="1" ref="M100" ca="1">_xlfn.XLOOKUP(TEXT(A100, "mmm-yy"), TEXT([2]RUNS!$B$5:$B$208, "mmm-yy"), [2]RUNS!$BM$5:$BM$208, "Not Found")</f>
        <v>0.80612045967097878</v>
      </c>
    </row>
    <row r="101" spans="1:13" x14ac:dyDescent="0.25">
      <c r="A101" s="1">
        <f t="shared" ca="1" si="3"/>
        <v>45948</v>
      </c>
      <c r="B101" cm="1">
        <f t="array" aca="1" ref="B101" ca="1">_xlfn.XLOOKUP(TEXT(A101, "mmm-yy"), TEXT([1]Monthly!$C:$C, "mmm-yy"), [1]Monthly!$O:$O, "Not Found")</f>
        <v>67.352164742720163</v>
      </c>
      <c r="C101" cm="1">
        <f t="array" aca="1" ref="C101" ca="1">_xlfn.XLOOKUP(TEXT(A101, "mmm-yy"), TEXT([1]Monthly!$C:$C, "mmm-yy"), [1]Monthly!$P:$P, "Not Found")</f>
        <v>66.991392324078362</v>
      </c>
      <c r="D101" cm="1">
        <f t="array" aca="1" ref="D101" ca="1">_xlfn.XLOOKUP(TEXT(A101, "mmm-yy"), TEXT([1]Monthly!$C:$C, "mmm-yy"), [1]Monthly!$R:$R, "Not Found")</f>
        <v>62.799554262716029</v>
      </c>
      <c r="E101" cm="1">
        <f t="array" aca="1" ref="E101" ca="1">_xlfn.XLOOKUP(TEXT(A101, "mmm-yy"), TEXT([1]Monthly!$C:$C, "mmm-yy"), [1]Monthly!$S:$S, "Not Found")</f>
        <v>73.692164742720166</v>
      </c>
      <c r="F101" cm="1">
        <f t="array" aca="1" ref="F101" ca="1">_xlfn.XLOOKUP(TEXT(A101, "mmm-yy"), TEXT([2]RUNS!$B$5:$B$208, "mmm-yy"), [2]RUNS!$D$5:$D$208, "Not Found")</f>
        <v>30196.546910861165</v>
      </c>
      <c r="G101">
        <f>AVERAGE([3]Sheet1!$H2323,[3]Sheet1!$H2585)</f>
        <v>13196.375</v>
      </c>
      <c r="H101">
        <f>AVERAGE([3]Sheet1!$I2323,[3]Sheet1!$I2585)</f>
        <v>0.46999999999999886</v>
      </c>
      <c r="I101" cm="1">
        <f t="array" aca="1" ref="I101" ca="1">_xlfn.XLOOKUP(TEXT(A101, "mmm-yy"), TEXT([2]GASOLINE!$B$5:$B$208, "mmm-yy"), [2]GASOLINE!$IR$5:$IR$208, "Not Found")</f>
        <v>-459.82900464317572</v>
      </c>
      <c r="J101" cm="1">
        <f t="array" aca="1" ref="J101" ca="1">_xlfn.XLOOKUP(TEXT(A101, "mmm-yy"), TEXT([2]GASOLINE!$B$5:$B$208, "mmm-yy"), [2]GASOLINE!$IK$5:$IK$208, "Not Found")</f>
        <v>321.95079755835258</v>
      </c>
      <c r="K101">
        <f t="shared" ca="1" si="2"/>
        <v>0</v>
      </c>
      <c r="L101" cm="1">
        <f t="array" aca="1" ref="L101" ca="1">_xlfn.XLOOKUP(TEXT(A101, "mmm-yy"), TEXT([2]GASOLINE!$B$5:$B$208, "mmm-yy"), [2]GASOLINE!$C$5:$C$208, "Not Found")</f>
        <v>8014.7416358039673</v>
      </c>
      <c r="M101" cm="1">
        <f t="array" aca="1" ref="M101" ca="1">_xlfn.XLOOKUP(TEXT(A101, "mmm-yy"), TEXT([2]RUNS!$B$5:$B$208, "mmm-yy"), [2]RUNS!$BM$5:$BM$208, "Not Found")</f>
        <v>0.80612045967097878</v>
      </c>
    </row>
    <row r="102" spans="1:13" x14ac:dyDescent="0.25">
      <c r="A102" s="1">
        <f t="shared" ca="1" si="3"/>
        <v>45949</v>
      </c>
      <c r="B102" cm="1">
        <f t="array" aca="1" ref="B102" ca="1">_xlfn.XLOOKUP(TEXT(A102, "mmm-yy"), TEXT([1]Monthly!$C:$C, "mmm-yy"), [1]Monthly!$O:$O, "Not Found")</f>
        <v>67.352164742720163</v>
      </c>
      <c r="C102" cm="1">
        <f t="array" aca="1" ref="C102" ca="1">_xlfn.XLOOKUP(TEXT(A102, "mmm-yy"), TEXT([1]Monthly!$C:$C, "mmm-yy"), [1]Monthly!$P:$P, "Not Found")</f>
        <v>66.991392324078362</v>
      </c>
      <c r="D102" cm="1">
        <f t="array" aca="1" ref="D102" ca="1">_xlfn.XLOOKUP(TEXT(A102, "mmm-yy"), TEXT([1]Monthly!$C:$C, "mmm-yy"), [1]Monthly!$R:$R, "Not Found")</f>
        <v>62.799554262716029</v>
      </c>
      <c r="E102" cm="1">
        <f t="array" aca="1" ref="E102" ca="1">_xlfn.XLOOKUP(TEXT(A102, "mmm-yy"), TEXT([1]Monthly!$C:$C, "mmm-yy"), [1]Monthly!$S:$S, "Not Found")</f>
        <v>73.692164742720166</v>
      </c>
      <c r="F102" cm="1">
        <f t="array" aca="1" ref="F102" ca="1">_xlfn.XLOOKUP(TEXT(A102, "mmm-yy"), TEXT([2]RUNS!$B$5:$B$208, "mmm-yy"), [2]RUNS!$D$5:$D$208, "Not Found")</f>
        <v>30196.546910861165</v>
      </c>
      <c r="G102">
        <f>AVERAGE([3]Sheet1!$H2324,[3]Sheet1!$H2586)</f>
        <v>13196.375</v>
      </c>
      <c r="H102">
        <f>AVERAGE([3]Sheet1!$I2324,[3]Sheet1!$I2586)</f>
        <v>0.58499999999999375</v>
      </c>
      <c r="I102" cm="1">
        <f t="array" aca="1" ref="I102" ca="1">_xlfn.XLOOKUP(TEXT(A102, "mmm-yy"), TEXT([2]GASOLINE!$B$5:$B$208, "mmm-yy"), [2]GASOLINE!$IR$5:$IR$208, "Not Found")</f>
        <v>-459.82900464317572</v>
      </c>
      <c r="J102" cm="1">
        <f t="array" aca="1" ref="J102" ca="1">_xlfn.XLOOKUP(TEXT(A102, "mmm-yy"), TEXT([2]GASOLINE!$B$5:$B$208, "mmm-yy"), [2]GASOLINE!$IK$5:$IK$208, "Not Found")</f>
        <v>321.95079755835258</v>
      </c>
      <c r="K102">
        <f t="shared" ca="1" si="2"/>
        <v>0</v>
      </c>
      <c r="L102" cm="1">
        <f t="array" aca="1" ref="L102" ca="1">_xlfn.XLOOKUP(TEXT(A102, "mmm-yy"), TEXT([2]GASOLINE!$B$5:$B$208, "mmm-yy"), [2]GASOLINE!$C$5:$C$208, "Not Found")</f>
        <v>8014.7416358039673</v>
      </c>
      <c r="M102" cm="1">
        <f t="array" aca="1" ref="M102" ca="1">_xlfn.XLOOKUP(TEXT(A102, "mmm-yy"), TEXT([2]RUNS!$B$5:$B$208, "mmm-yy"), [2]RUNS!$BM$5:$BM$208, "Not Found")</f>
        <v>0.80612045967097878</v>
      </c>
    </row>
    <row r="103" spans="1:13" x14ac:dyDescent="0.25">
      <c r="A103" s="1">
        <f t="shared" ca="1" si="3"/>
        <v>45950</v>
      </c>
      <c r="B103" cm="1">
        <f t="array" aca="1" ref="B103" ca="1">_xlfn.XLOOKUP(TEXT(A103, "mmm-yy"), TEXT([1]Monthly!$C:$C, "mmm-yy"), [1]Monthly!$O:$O, "Not Found")</f>
        <v>67.352164742720163</v>
      </c>
      <c r="C103" cm="1">
        <f t="array" aca="1" ref="C103" ca="1">_xlfn.XLOOKUP(TEXT(A103, "mmm-yy"), TEXT([1]Monthly!$C:$C, "mmm-yy"), [1]Monthly!$P:$P, "Not Found")</f>
        <v>66.991392324078362</v>
      </c>
      <c r="D103" cm="1">
        <f t="array" aca="1" ref="D103" ca="1">_xlfn.XLOOKUP(TEXT(A103, "mmm-yy"), TEXT([1]Monthly!$C:$C, "mmm-yy"), [1]Monthly!$R:$R, "Not Found")</f>
        <v>62.799554262716029</v>
      </c>
      <c r="E103" cm="1">
        <f t="array" aca="1" ref="E103" ca="1">_xlfn.XLOOKUP(TEXT(A103, "mmm-yy"), TEXT([1]Monthly!$C:$C, "mmm-yy"), [1]Monthly!$S:$S, "Not Found")</f>
        <v>73.692164742720166</v>
      </c>
      <c r="F103" cm="1">
        <f t="array" aca="1" ref="F103" ca="1">_xlfn.XLOOKUP(TEXT(A103, "mmm-yy"), TEXT([2]RUNS!$B$5:$B$208, "mmm-yy"), [2]RUNS!$D$5:$D$208, "Not Found")</f>
        <v>30196.546910861165</v>
      </c>
      <c r="G103">
        <f>AVERAGE([3]Sheet1!$H2325,[3]Sheet1!$H2587)</f>
        <v>13196.375</v>
      </c>
      <c r="H103">
        <f>AVERAGE([3]Sheet1!$I2325,[3]Sheet1!$I2587)</f>
        <v>0.64999999999999858</v>
      </c>
      <c r="I103" cm="1">
        <f t="array" aca="1" ref="I103" ca="1">_xlfn.XLOOKUP(TEXT(A103, "mmm-yy"), TEXT([2]GASOLINE!$B$5:$B$208, "mmm-yy"), [2]GASOLINE!$IR$5:$IR$208, "Not Found")</f>
        <v>-459.82900464317572</v>
      </c>
      <c r="J103" cm="1">
        <f t="array" aca="1" ref="J103" ca="1">_xlfn.XLOOKUP(TEXT(A103, "mmm-yy"), TEXT([2]GASOLINE!$B$5:$B$208, "mmm-yy"), [2]GASOLINE!$IK$5:$IK$208, "Not Found")</f>
        <v>321.95079755835258</v>
      </c>
      <c r="K103">
        <f t="shared" ca="1" si="2"/>
        <v>0</v>
      </c>
      <c r="L103" cm="1">
        <f t="array" aca="1" ref="L103" ca="1">_xlfn.XLOOKUP(TEXT(A103, "mmm-yy"), TEXT([2]GASOLINE!$B$5:$B$208, "mmm-yy"), [2]GASOLINE!$C$5:$C$208, "Not Found")</f>
        <v>8014.7416358039673</v>
      </c>
      <c r="M103" cm="1">
        <f t="array" aca="1" ref="M103" ca="1">_xlfn.XLOOKUP(TEXT(A103, "mmm-yy"), TEXT([2]RUNS!$B$5:$B$208, "mmm-yy"), [2]RUNS!$BM$5:$BM$208, "Not Found")</f>
        <v>0.80612045967097878</v>
      </c>
    </row>
    <row r="104" spans="1:13" x14ac:dyDescent="0.25">
      <c r="A104" s="1">
        <f t="shared" ca="1" si="3"/>
        <v>45951</v>
      </c>
      <c r="B104" cm="1">
        <f t="array" aca="1" ref="B104" ca="1">_xlfn.XLOOKUP(TEXT(A104, "mmm-yy"), TEXT([1]Monthly!$C:$C, "mmm-yy"), [1]Monthly!$O:$O, "Not Found")</f>
        <v>67.352164742720163</v>
      </c>
      <c r="C104" cm="1">
        <f t="array" aca="1" ref="C104" ca="1">_xlfn.XLOOKUP(TEXT(A104, "mmm-yy"), TEXT([1]Monthly!$C:$C, "mmm-yy"), [1]Monthly!$P:$P, "Not Found")</f>
        <v>66.991392324078362</v>
      </c>
      <c r="D104" cm="1">
        <f t="array" aca="1" ref="D104" ca="1">_xlfn.XLOOKUP(TEXT(A104, "mmm-yy"), TEXT([1]Monthly!$C:$C, "mmm-yy"), [1]Monthly!$R:$R, "Not Found")</f>
        <v>62.799554262716029</v>
      </c>
      <c r="E104" cm="1">
        <f t="array" aca="1" ref="E104" ca="1">_xlfn.XLOOKUP(TEXT(A104, "mmm-yy"), TEXT([1]Monthly!$C:$C, "mmm-yy"), [1]Monthly!$S:$S, "Not Found")</f>
        <v>73.692164742720166</v>
      </c>
      <c r="F104" cm="1">
        <f t="array" aca="1" ref="F104" ca="1">_xlfn.XLOOKUP(TEXT(A104, "mmm-yy"), TEXT([2]RUNS!$B$5:$B$208, "mmm-yy"), [2]RUNS!$D$5:$D$208, "Not Found")</f>
        <v>30196.546910861165</v>
      </c>
      <c r="G104">
        <f>AVERAGE([3]Sheet1!$H2326,[3]Sheet1!$H2588)</f>
        <v>13196.375</v>
      </c>
      <c r="H104">
        <f>AVERAGE([3]Sheet1!$I2326,[3]Sheet1!$I2588)</f>
        <v>0.67499999999999716</v>
      </c>
      <c r="I104" cm="1">
        <f t="array" aca="1" ref="I104" ca="1">_xlfn.XLOOKUP(TEXT(A104, "mmm-yy"), TEXT([2]GASOLINE!$B$5:$B$208, "mmm-yy"), [2]GASOLINE!$IR$5:$IR$208, "Not Found")</f>
        <v>-459.82900464317572</v>
      </c>
      <c r="J104" cm="1">
        <f t="array" aca="1" ref="J104" ca="1">_xlfn.XLOOKUP(TEXT(A104, "mmm-yy"), TEXT([2]GASOLINE!$B$5:$B$208, "mmm-yy"), [2]GASOLINE!$IK$5:$IK$208, "Not Found")</f>
        <v>321.95079755835258</v>
      </c>
      <c r="K104">
        <f t="shared" ca="1" si="2"/>
        <v>0</v>
      </c>
      <c r="L104" cm="1">
        <f t="array" aca="1" ref="L104" ca="1">_xlfn.XLOOKUP(TEXT(A104, "mmm-yy"), TEXT([2]GASOLINE!$B$5:$B$208, "mmm-yy"), [2]GASOLINE!$C$5:$C$208, "Not Found")</f>
        <v>8014.7416358039673</v>
      </c>
      <c r="M104" cm="1">
        <f t="array" aca="1" ref="M104" ca="1">_xlfn.XLOOKUP(TEXT(A104, "mmm-yy"), TEXT([2]RUNS!$B$5:$B$208, "mmm-yy"), [2]RUNS!$BM$5:$BM$208, "Not Found")</f>
        <v>0.80612045967097878</v>
      </c>
    </row>
    <row r="105" spans="1:13" x14ac:dyDescent="0.25">
      <c r="A105" s="1">
        <f t="shared" ca="1" si="3"/>
        <v>45952</v>
      </c>
      <c r="B105" cm="1">
        <f t="array" aca="1" ref="B105" ca="1">_xlfn.XLOOKUP(TEXT(A105, "mmm-yy"), TEXT([1]Monthly!$C:$C, "mmm-yy"), [1]Monthly!$O:$O, "Not Found")</f>
        <v>67.352164742720163</v>
      </c>
      <c r="C105" cm="1">
        <f t="array" aca="1" ref="C105" ca="1">_xlfn.XLOOKUP(TEXT(A105, "mmm-yy"), TEXT([1]Monthly!$C:$C, "mmm-yy"), [1]Monthly!$P:$P, "Not Found")</f>
        <v>66.991392324078362</v>
      </c>
      <c r="D105" cm="1">
        <f t="array" aca="1" ref="D105" ca="1">_xlfn.XLOOKUP(TEXT(A105, "mmm-yy"), TEXT([1]Monthly!$C:$C, "mmm-yy"), [1]Monthly!$R:$R, "Not Found")</f>
        <v>62.799554262716029</v>
      </c>
      <c r="E105" cm="1">
        <f t="array" aca="1" ref="E105" ca="1">_xlfn.XLOOKUP(TEXT(A105, "mmm-yy"), TEXT([1]Monthly!$C:$C, "mmm-yy"), [1]Monthly!$S:$S, "Not Found")</f>
        <v>73.692164742720166</v>
      </c>
      <c r="F105" cm="1">
        <f t="array" aca="1" ref="F105" ca="1">_xlfn.XLOOKUP(TEXT(A105, "mmm-yy"), TEXT([2]RUNS!$B$5:$B$208, "mmm-yy"), [2]RUNS!$D$5:$D$208, "Not Found")</f>
        <v>30196.546910861165</v>
      </c>
      <c r="G105">
        <f>AVERAGE([3]Sheet1!$H2327,[3]Sheet1!$H2589)</f>
        <v>13820.5</v>
      </c>
      <c r="H105">
        <f>AVERAGE([3]Sheet1!$I2327,[3]Sheet1!$I2589)</f>
        <v>0.78000000000000114</v>
      </c>
      <c r="I105" cm="1">
        <f t="array" aca="1" ref="I105" ca="1">_xlfn.XLOOKUP(TEXT(A105, "mmm-yy"), TEXT([2]GASOLINE!$B$5:$B$208, "mmm-yy"), [2]GASOLINE!$IR$5:$IR$208, "Not Found")</f>
        <v>-459.82900464317572</v>
      </c>
      <c r="J105" cm="1">
        <f t="array" aca="1" ref="J105" ca="1">_xlfn.XLOOKUP(TEXT(A105, "mmm-yy"), TEXT([2]GASOLINE!$B$5:$B$208, "mmm-yy"), [2]GASOLINE!$IK$5:$IK$208, "Not Found")</f>
        <v>321.95079755835258</v>
      </c>
      <c r="K105">
        <f t="shared" ca="1" si="2"/>
        <v>0</v>
      </c>
      <c r="L105" cm="1">
        <f t="array" aca="1" ref="L105" ca="1">_xlfn.XLOOKUP(TEXT(A105, "mmm-yy"), TEXT([2]GASOLINE!$B$5:$B$208, "mmm-yy"), [2]GASOLINE!$C$5:$C$208, "Not Found")</f>
        <v>8014.7416358039673</v>
      </c>
      <c r="M105" cm="1">
        <f t="array" aca="1" ref="M105" ca="1">_xlfn.XLOOKUP(TEXT(A105, "mmm-yy"), TEXT([2]RUNS!$B$5:$B$208, "mmm-yy"), [2]RUNS!$BM$5:$BM$208, "Not Found")</f>
        <v>0.80612045967097878</v>
      </c>
    </row>
    <row r="106" spans="1:13" x14ac:dyDescent="0.25">
      <c r="A106" s="1">
        <f t="shared" ca="1" si="3"/>
        <v>45953</v>
      </c>
      <c r="B106" cm="1">
        <f t="array" aca="1" ref="B106" ca="1">_xlfn.XLOOKUP(TEXT(A106, "mmm-yy"), TEXT([1]Monthly!$C:$C, "mmm-yy"), [1]Monthly!$O:$O, "Not Found")</f>
        <v>67.352164742720163</v>
      </c>
      <c r="C106" cm="1">
        <f t="array" aca="1" ref="C106" ca="1">_xlfn.XLOOKUP(TEXT(A106, "mmm-yy"), TEXT([1]Monthly!$C:$C, "mmm-yy"), [1]Monthly!$P:$P, "Not Found")</f>
        <v>66.991392324078362</v>
      </c>
      <c r="D106" cm="1">
        <f t="array" aca="1" ref="D106" ca="1">_xlfn.XLOOKUP(TEXT(A106, "mmm-yy"), TEXT([1]Monthly!$C:$C, "mmm-yy"), [1]Monthly!$R:$R, "Not Found")</f>
        <v>62.799554262716029</v>
      </c>
      <c r="E106" cm="1">
        <f t="array" aca="1" ref="E106" ca="1">_xlfn.XLOOKUP(TEXT(A106, "mmm-yy"), TEXT([1]Monthly!$C:$C, "mmm-yy"), [1]Monthly!$S:$S, "Not Found")</f>
        <v>73.692164742720166</v>
      </c>
      <c r="F106" cm="1">
        <f t="array" aca="1" ref="F106" ca="1">_xlfn.XLOOKUP(TEXT(A106, "mmm-yy"), TEXT([2]RUNS!$B$5:$B$208, "mmm-yy"), [2]RUNS!$D$5:$D$208, "Not Found")</f>
        <v>30196.546910861165</v>
      </c>
      <c r="G106">
        <f>AVERAGE([3]Sheet1!$H2328,[3]Sheet1!$H2590)</f>
        <v>14001.625</v>
      </c>
      <c r="H106">
        <f>AVERAGE([3]Sheet1!$I2328,[3]Sheet1!$I2590)</f>
        <v>0.46000000000000085</v>
      </c>
      <c r="I106" cm="1">
        <f t="array" aca="1" ref="I106" ca="1">_xlfn.XLOOKUP(TEXT(A106, "mmm-yy"), TEXT([2]GASOLINE!$B$5:$B$208, "mmm-yy"), [2]GASOLINE!$IR$5:$IR$208, "Not Found")</f>
        <v>-459.82900464317572</v>
      </c>
      <c r="J106" cm="1">
        <f t="array" aca="1" ref="J106" ca="1">_xlfn.XLOOKUP(TEXT(A106, "mmm-yy"), TEXT([2]GASOLINE!$B$5:$B$208, "mmm-yy"), [2]GASOLINE!$IK$5:$IK$208, "Not Found")</f>
        <v>321.95079755835258</v>
      </c>
      <c r="K106">
        <f t="shared" ca="1" si="2"/>
        <v>0</v>
      </c>
      <c r="L106" cm="1">
        <f t="array" aca="1" ref="L106" ca="1">_xlfn.XLOOKUP(TEXT(A106, "mmm-yy"), TEXT([2]GASOLINE!$B$5:$B$208, "mmm-yy"), [2]GASOLINE!$C$5:$C$208, "Not Found")</f>
        <v>8014.7416358039673</v>
      </c>
      <c r="M106" cm="1">
        <f t="array" aca="1" ref="M106" ca="1">_xlfn.XLOOKUP(TEXT(A106, "mmm-yy"), TEXT([2]RUNS!$B$5:$B$208, "mmm-yy"), [2]RUNS!$BM$5:$BM$208, "Not Found")</f>
        <v>0.80612045967097878</v>
      </c>
    </row>
    <row r="107" spans="1:13" x14ac:dyDescent="0.25">
      <c r="A107" s="1">
        <f t="shared" ca="1" si="3"/>
        <v>45954</v>
      </c>
      <c r="B107" cm="1">
        <f t="array" aca="1" ref="B107" ca="1">_xlfn.XLOOKUP(TEXT(A107, "mmm-yy"), TEXT([1]Monthly!$C:$C, "mmm-yy"), [1]Monthly!$O:$O, "Not Found")</f>
        <v>67.352164742720163</v>
      </c>
      <c r="C107" cm="1">
        <f t="array" aca="1" ref="C107" ca="1">_xlfn.XLOOKUP(TEXT(A107, "mmm-yy"), TEXT([1]Monthly!$C:$C, "mmm-yy"), [1]Monthly!$P:$P, "Not Found")</f>
        <v>66.991392324078362</v>
      </c>
      <c r="D107" cm="1">
        <f t="array" aca="1" ref="D107" ca="1">_xlfn.XLOOKUP(TEXT(A107, "mmm-yy"), TEXT([1]Monthly!$C:$C, "mmm-yy"), [1]Monthly!$R:$R, "Not Found")</f>
        <v>62.799554262716029</v>
      </c>
      <c r="E107" cm="1">
        <f t="array" aca="1" ref="E107" ca="1">_xlfn.XLOOKUP(TEXT(A107, "mmm-yy"), TEXT([1]Monthly!$C:$C, "mmm-yy"), [1]Monthly!$S:$S, "Not Found")</f>
        <v>73.692164742720166</v>
      </c>
      <c r="F107" cm="1">
        <f t="array" aca="1" ref="F107" ca="1">_xlfn.XLOOKUP(TEXT(A107, "mmm-yy"), TEXT([2]RUNS!$B$5:$B$208, "mmm-yy"), [2]RUNS!$D$5:$D$208, "Not Found")</f>
        <v>30196.546910861165</v>
      </c>
      <c r="G107">
        <f>AVERAGE([3]Sheet1!$H2329,[3]Sheet1!$H2591)</f>
        <v>14001.625</v>
      </c>
      <c r="H107">
        <f>AVERAGE([3]Sheet1!$I2329,[3]Sheet1!$I2591)</f>
        <v>0.43500000000000227</v>
      </c>
      <c r="I107" cm="1">
        <f t="array" aca="1" ref="I107" ca="1">_xlfn.XLOOKUP(TEXT(A107, "mmm-yy"), TEXT([2]GASOLINE!$B$5:$B$208, "mmm-yy"), [2]GASOLINE!$IR$5:$IR$208, "Not Found")</f>
        <v>-459.82900464317572</v>
      </c>
      <c r="J107" cm="1">
        <f t="array" aca="1" ref="J107" ca="1">_xlfn.XLOOKUP(TEXT(A107, "mmm-yy"), TEXT([2]GASOLINE!$B$5:$B$208, "mmm-yy"), [2]GASOLINE!$IK$5:$IK$208, "Not Found")</f>
        <v>321.95079755835258</v>
      </c>
      <c r="K107">
        <f t="shared" ca="1" si="2"/>
        <v>0</v>
      </c>
      <c r="L107" cm="1">
        <f t="array" aca="1" ref="L107" ca="1">_xlfn.XLOOKUP(TEXT(A107, "mmm-yy"), TEXT([2]GASOLINE!$B$5:$B$208, "mmm-yy"), [2]GASOLINE!$C$5:$C$208, "Not Found")</f>
        <v>8014.7416358039673</v>
      </c>
      <c r="M107" cm="1">
        <f t="array" aca="1" ref="M107" ca="1">_xlfn.XLOOKUP(TEXT(A107, "mmm-yy"), TEXT([2]RUNS!$B$5:$B$208, "mmm-yy"), [2]RUNS!$BM$5:$BM$208, "Not Found")</f>
        <v>0.80612045967097878</v>
      </c>
    </row>
    <row r="108" spans="1:13" x14ac:dyDescent="0.25">
      <c r="A108" s="1">
        <f t="shared" ca="1" si="3"/>
        <v>45955</v>
      </c>
      <c r="B108" cm="1">
        <f t="array" aca="1" ref="B108" ca="1">_xlfn.XLOOKUP(TEXT(A108, "mmm-yy"), TEXT([1]Monthly!$C:$C, "mmm-yy"), [1]Monthly!$O:$O, "Not Found")</f>
        <v>67.352164742720163</v>
      </c>
      <c r="C108" cm="1">
        <f t="array" aca="1" ref="C108" ca="1">_xlfn.XLOOKUP(TEXT(A108, "mmm-yy"), TEXT([1]Monthly!$C:$C, "mmm-yy"), [1]Monthly!$P:$P, "Not Found")</f>
        <v>66.991392324078362</v>
      </c>
      <c r="D108" cm="1">
        <f t="array" aca="1" ref="D108" ca="1">_xlfn.XLOOKUP(TEXT(A108, "mmm-yy"), TEXT([1]Monthly!$C:$C, "mmm-yy"), [1]Monthly!$R:$R, "Not Found")</f>
        <v>62.799554262716029</v>
      </c>
      <c r="E108" cm="1">
        <f t="array" aca="1" ref="E108" ca="1">_xlfn.XLOOKUP(TEXT(A108, "mmm-yy"), TEXT([1]Monthly!$C:$C, "mmm-yy"), [1]Monthly!$S:$S, "Not Found")</f>
        <v>73.692164742720166</v>
      </c>
      <c r="F108" cm="1">
        <f t="array" aca="1" ref="F108" ca="1">_xlfn.XLOOKUP(TEXT(A108, "mmm-yy"), TEXT([2]RUNS!$B$5:$B$208, "mmm-yy"), [2]RUNS!$D$5:$D$208, "Not Found")</f>
        <v>30196.546910861165</v>
      </c>
      <c r="G108">
        <f>AVERAGE([3]Sheet1!$H2330,[3]Sheet1!$H2592)</f>
        <v>14001.625</v>
      </c>
      <c r="H108">
        <f>AVERAGE([3]Sheet1!$I2330,[3]Sheet1!$I2592)</f>
        <v>0.38500000000000512</v>
      </c>
      <c r="I108" cm="1">
        <f t="array" aca="1" ref="I108" ca="1">_xlfn.XLOOKUP(TEXT(A108, "mmm-yy"), TEXT([2]GASOLINE!$B$5:$B$208, "mmm-yy"), [2]GASOLINE!$IR$5:$IR$208, "Not Found")</f>
        <v>-459.82900464317572</v>
      </c>
      <c r="J108" cm="1">
        <f t="array" aca="1" ref="J108" ca="1">_xlfn.XLOOKUP(TEXT(A108, "mmm-yy"), TEXT([2]GASOLINE!$B$5:$B$208, "mmm-yy"), [2]GASOLINE!$IK$5:$IK$208, "Not Found")</f>
        <v>321.95079755835258</v>
      </c>
      <c r="K108">
        <f t="shared" ca="1" si="2"/>
        <v>0</v>
      </c>
      <c r="L108" cm="1">
        <f t="array" aca="1" ref="L108" ca="1">_xlfn.XLOOKUP(TEXT(A108, "mmm-yy"), TEXT([2]GASOLINE!$B$5:$B$208, "mmm-yy"), [2]GASOLINE!$C$5:$C$208, "Not Found")</f>
        <v>8014.7416358039673</v>
      </c>
      <c r="M108" cm="1">
        <f t="array" aca="1" ref="M108" ca="1">_xlfn.XLOOKUP(TEXT(A108, "mmm-yy"), TEXT([2]RUNS!$B$5:$B$208, "mmm-yy"), [2]RUNS!$BM$5:$BM$208, "Not Found")</f>
        <v>0.80612045967097878</v>
      </c>
    </row>
    <row r="109" spans="1:13" x14ac:dyDescent="0.25">
      <c r="A109" s="1">
        <f t="shared" ca="1" si="3"/>
        <v>45956</v>
      </c>
      <c r="B109" cm="1">
        <f t="array" aca="1" ref="B109" ca="1">_xlfn.XLOOKUP(TEXT(A109, "mmm-yy"), TEXT([1]Monthly!$C:$C, "mmm-yy"), [1]Monthly!$O:$O, "Not Found")</f>
        <v>67.352164742720163</v>
      </c>
      <c r="C109" cm="1">
        <f t="array" aca="1" ref="C109" ca="1">_xlfn.XLOOKUP(TEXT(A109, "mmm-yy"), TEXT([1]Monthly!$C:$C, "mmm-yy"), [1]Monthly!$P:$P, "Not Found")</f>
        <v>66.991392324078362</v>
      </c>
      <c r="D109" cm="1">
        <f t="array" aca="1" ref="D109" ca="1">_xlfn.XLOOKUP(TEXT(A109, "mmm-yy"), TEXT([1]Monthly!$C:$C, "mmm-yy"), [1]Monthly!$R:$R, "Not Found")</f>
        <v>62.799554262716029</v>
      </c>
      <c r="E109" cm="1">
        <f t="array" aca="1" ref="E109" ca="1">_xlfn.XLOOKUP(TEXT(A109, "mmm-yy"), TEXT([1]Monthly!$C:$C, "mmm-yy"), [1]Monthly!$S:$S, "Not Found")</f>
        <v>73.692164742720166</v>
      </c>
      <c r="F109" cm="1">
        <f t="array" aca="1" ref="F109" ca="1">_xlfn.XLOOKUP(TEXT(A109, "mmm-yy"), TEXT([2]RUNS!$B$5:$B$208, "mmm-yy"), [2]RUNS!$D$5:$D$208, "Not Found")</f>
        <v>30196.546910861165</v>
      </c>
      <c r="G109">
        <f>AVERAGE([3]Sheet1!$H2331,[3]Sheet1!$H2593)</f>
        <v>14001.625</v>
      </c>
      <c r="H109">
        <f>AVERAGE([3]Sheet1!$I2331,[3]Sheet1!$I2593)</f>
        <v>0.33999999999999631</v>
      </c>
      <c r="I109" cm="1">
        <f t="array" aca="1" ref="I109" ca="1">_xlfn.XLOOKUP(TEXT(A109, "mmm-yy"), TEXT([2]GASOLINE!$B$5:$B$208, "mmm-yy"), [2]GASOLINE!$IR$5:$IR$208, "Not Found")</f>
        <v>-459.82900464317572</v>
      </c>
      <c r="J109" cm="1">
        <f t="array" aca="1" ref="J109" ca="1">_xlfn.XLOOKUP(TEXT(A109, "mmm-yy"), TEXT([2]GASOLINE!$B$5:$B$208, "mmm-yy"), [2]GASOLINE!$IK$5:$IK$208, "Not Found")</f>
        <v>321.95079755835258</v>
      </c>
      <c r="K109">
        <f t="shared" ca="1" si="2"/>
        <v>0</v>
      </c>
      <c r="L109" cm="1">
        <f t="array" aca="1" ref="L109" ca="1">_xlfn.XLOOKUP(TEXT(A109, "mmm-yy"), TEXT([2]GASOLINE!$B$5:$B$208, "mmm-yy"), [2]GASOLINE!$C$5:$C$208, "Not Found")</f>
        <v>8014.7416358039673</v>
      </c>
      <c r="M109" cm="1">
        <f t="array" aca="1" ref="M109" ca="1">_xlfn.XLOOKUP(TEXT(A109, "mmm-yy"), TEXT([2]RUNS!$B$5:$B$208, "mmm-yy"), [2]RUNS!$BM$5:$BM$208, "Not Found")</f>
        <v>0.80612045967097878</v>
      </c>
    </row>
    <row r="110" spans="1:13" x14ac:dyDescent="0.25">
      <c r="A110" s="1">
        <f t="shared" ca="1" si="3"/>
        <v>45957</v>
      </c>
      <c r="B110" cm="1">
        <f t="array" aca="1" ref="B110" ca="1">_xlfn.XLOOKUP(TEXT(A110, "mmm-yy"), TEXT([1]Monthly!$C:$C, "mmm-yy"), [1]Monthly!$O:$O, "Not Found")</f>
        <v>67.352164742720163</v>
      </c>
      <c r="C110" cm="1">
        <f t="array" aca="1" ref="C110" ca="1">_xlfn.XLOOKUP(TEXT(A110, "mmm-yy"), TEXT([1]Monthly!$C:$C, "mmm-yy"), [1]Monthly!$P:$P, "Not Found")</f>
        <v>66.991392324078362</v>
      </c>
      <c r="D110" cm="1">
        <f t="array" aca="1" ref="D110" ca="1">_xlfn.XLOOKUP(TEXT(A110, "mmm-yy"), TEXT([1]Monthly!$C:$C, "mmm-yy"), [1]Monthly!$R:$R, "Not Found")</f>
        <v>62.799554262716029</v>
      </c>
      <c r="E110" cm="1">
        <f t="array" aca="1" ref="E110" ca="1">_xlfn.XLOOKUP(TEXT(A110, "mmm-yy"), TEXT([1]Monthly!$C:$C, "mmm-yy"), [1]Monthly!$S:$S, "Not Found")</f>
        <v>73.692164742720166</v>
      </c>
      <c r="F110" cm="1">
        <f t="array" aca="1" ref="F110" ca="1">_xlfn.XLOOKUP(TEXT(A110, "mmm-yy"), TEXT([2]RUNS!$B$5:$B$208, "mmm-yy"), [2]RUNS!$D$5:$D$208, "Not Found")</f>
        <v>30196.546910861165</v>
      </c>
      <c r="G110">
        <f>AVERAGE([3]Sheet1!$H2332,[3]Sheet1!$H2594)</f>
        <v>14001.625</v>
      </c>
      <c r="H110">
        <f>AVERAGE([3]Sheet1!$I2332,[3]Sheet1!$I2594)</f>
        <v>0.2949999999999946</v>
      </c>
      <c r="I110" cm="1">
        <f t="array" aca="1" ref="I110" ca="1">_xlfn.XLOOKUP(TEXT(A110, "mmm-yy"), TEXT([2]GASOLINE!$B$5:$B$208, "mmm-yy"), [2]GASOLINE!$IR$5:$IR$208, "Not Found")</f>
        <v>-459.82900464317572</v>
      </c>
      <c r="J110" cm="1">
        <f t="array" aca="1" ref="J110" ca="1">_xlfn.XLOOKUP(TEXT(A110, "mmm-yy"), TEXT([2]GASOLINE!$B$5:$B$208, "mmm-yy"), [2]GASOLINE!$IK$5:$IK$208, "Not Found")</f>
        <v>321.95079755835258</v>
      </c>
      <c r="K110">
        <f t="shared" ca="1" si="2"/>
        <v>0</v>
      </c>
      <c r="L110" cm="1">
        <f t="array" aca="1" ref="L110" ca="1">_xlfn.XLOOKUP(TEXT(A110, "mmm-yy"), TEXT([2]GASOLINE!$B$5:$B$208, "mmm-yy"), [2]GASOLINE!$C$5:$C$208, "Not Found")</f>
        <v>8014.7416358039673</v>
      </c>
      <c r="M110" cm="1">
        <f t="array" aca="1" ref="M110" ca="1">_xlfn.XLOOKUP(TEXT(A110, "mmm-yy"), TEXT([2]RUNS!$B$5:$B$208, "mmm-yy"), [2]RUNS!$BM$5:$BM$208, "Not Found")</f>
        <v>0.80612045967097878</v>
      </c>
    </row>
    <row r="111" spans="1:13" x14ac:dyDescent="0.25">
      <c r="A111" s="1">
        <f t="shared" ca="1" si="3"/>
        <v>45958</v>
      </c>
      <c r="B111" cm="1">
        <f t="array" aca="1" ref="B111" ca="1">_xlfn.XLOOKUP(TEXT(A111, "mmm-yy"), TEXT([1]Monthly!$C:$C, "mmm-yy"), [1]Monthly!$O:$O, "Not Found")</f>
        <v>67.352164742720163</v>
      </c>
      <c r="C111" cm="1">
        <f t="array" aca="1" ref="C111" ca="1">_xlfn.XLOOKUP(TEXT(A111, "mmm-yy"), TEXT([1]Monthly!$C:$C, "mmm-yy"), [1]Monthly!$P:$P, "Not Found")</f>
        <v>66.991392324078362</v>
      </c>
      <c r="D111" cm="1">
        <f t="array" aca="1" ref="D111" ca="1">_xlfn.XLOOKUP(TEXT(A111, "mmm-yy"), TEXT([1]Monthly!$C:$C, "mmm-yy"), [1]Monthly!$R:$R, "Not Found")</f>
        <v>62.799554262716029</v>
      </c>
      <c r="E111" cm="1">
        <f t="array" aca="1" ref="E111" ca="1">_xlfn.XLOOKUP(TEXT(A111, "mmm-yy"), TEXT([1]Monthly!$C:$C, "mmm-yy"), [1]Monthly!$S:$S, "Not Found")</f>
        <v>73.692164742720166</v>
      </c>
      <c r="F111" cm="1">
        <f t="array" aca="1" ref="F111" ca="1">_xlfn.XLOOKUP(TEXT(A111, "mmm-yy"), TEXT([2]RUNS!$B$5:$B$208, "mmm-yy"), [2]RUNS!$D$5:$D$208, "Not Found")</f>
        <v>30196.546910861165</v>
      </c>
      <c r="G111">
        <f>AVERAGE([3]Sheet1!$H2333,[3]Sheet1!$H2595)</f>
        <v>14001.625</v>
      </c>
      <c r="H111">
        <f>AVERAGE([3]Sheet1!$I2333,[3]Sheet1!$I2595)</f>
        <v>0.36999999999999744</v>
      </c>
      <c r="I111" cm="1">
        <f t="array" aca="1" ref="I111" ca="1">_xlfn.XLOOKUP(TEXT(A111, "mmm-yy"), TEXT([2]GASOLINE!$B$5:$B$208, "mmm-yy"), [2]GASOLINE!$IR$5:$IR$208, "Not Found")</f>
        <v>-459.82900464317572</v>
      </c>
      <c r="J111" cm="1">
        <f t="array" aca="1" ref="J111" ca="1">_xlfn.XLOOKUP(TEXT(A111, "mmm-yy"), TEXT([2]GASOLINE!$B$5:$B$208, "mmm-yy"), [2]GASOLINE!$IK$5:$IK$208, "Not Found")</f>
        <v>321.95079755835258</v>
      </c>
      <c r="K111">
        <f t="shared" ca="1" si="2"/>
        <v>0</v>
      </c>
      <c r="L111" cm="1">
        <f t="array" aca="1" ref="L111" ca="1">_xlfn.XLOOKUP(TEXT(A111, "mmm-yy"), TEXT([2]GASOLINE!$B$5:$B$208, "mmm-yy"), [2]GASOLINE!$C$5:$C$208, "Not Found")</f>
        <v>8014.7416358039673</v>
      </c>
      <c r="M111" cm="1">
        <f t="array" aca="1" ref="M111" ca="1">_xlfn.XLOOKUP(TEXT(A111, "mmm-yy"), TEXT([2]RUNS!$B$5:$B$208, "mmm-yy"), [2]RUNS!$BM$5:$BM$208, "Not Found")</f>
        <v>0.80612045967097878</v>
      </c>
    </row>
    <row r="112" spans="1:13" x14ac:dyDescent="0.25">
      <c r="A112" s="1">
        <f t="shared" ca="1" si="3"/>
        <v>45959</v>
      </c>
      <c r="B112" cm="1">
        <f t="array" aca="1" ref="B112" ca="1">_xlfn.XLOOKUP(TEXT(A112, "mmm-yy"), TEXT([1]Monthly!$C:$C, "mmm-yy"), [1]Monthly!$O:$O, "Not Found")</f>
        <v>67.352164742720163</v>
      </c>
      <c r="C112" cm="1">
        <f t="array" aca="1" ref="C112" ca="1">_xlfn.XLOOKUP(TEXT(A112, "mmm-yy"), TEXT([1]Monthly!$C:$C, "mmm-yy"), [1]Monthly!$P:$P, "Not Found")</f>
        <v>66.991392324078362</v>
      </c>
      <c r="D112" cm="1">
        <f t="array" aca="1" ref="D112" ca="1">_xlfn.XLOOKUP(TEXT(A112, "mmm-yy"), TEXT([1]Monthly!$C:$C, "mmm-yy"), [1]Monthly!$R:$R, "Not Found")</f>
        <v>62.799554262716029</v>
      </c>
      <c r="E112" cm="1">
        <f t="array" aca="1" ref="E112" ca="1">_xlfn.XLOOKUP(TEXT(A112, "mmm-yy"), TEXT([1]Monthly!$C:$C, "mmm-yy"), [1]Monthly!$S:$S, "Not Found")</f>
        <v>73.692164742720166</v>
      </c>
      <c r="F112" cm="1">
        <f t="array" aca="1" ref="F112" ca="1">_xlfn.XLOOKUP(TEXT(A112, "mmm-yy"), TEXT([2]RUNS!$B$5:$B$208, "mmm-yy"), [2]RUNS!$D$5:$D$208, "Not Found")</f>
        <v>30196.546910861165</v>
      </c>
      <c r="G112">
        <f>AVERAGE([3]Sheet1!$H2334,[3]Sheet1!$H2596)</f>
        <v>14001.625</v>
      </c>
      <c r="H112">
        <f>AVERAGE([3]Sheet1!$I2334,[3]Sheet1!$I2596)</f>
        <v>0.34499999999999176</v>
      </c>
      <c r="I112" cm="1">
        <f t="array" aca="1" ref="I112" ca="1">_xlfn.XLOOKUP(TEXT(A112, "mmm-yy"), TEXT([2]GASOLINE!$B$5:$B$208, "mmm-yy"), [2]GASOLINE!$IR$5:$IR$208, "Not Found")</f>
        <v>-459.82900464317572</v>
      </c>
      <c r="J112" cm="1">
        <f t="array" aca="1" ref="J112" ca="1">_xlfn.XLOOKUP(TEXT(A112, "mmm-yy"), TEXT([2]GASOLINE!$B$5:$B$208, "mmm-yy"), [2]GASOLINE!$IK$5:$IK$208, "Not Found")</f>
        <v>321.95079755835258</v>
      </c>
      <c r="K112">
        <f t="shared" ca="1" si="2"/>
        <v>0</v>
      </c>
      <c r="L112" cm="1">
        <f t="array" aca="1" ref="L112" ca="1">_xlfn.XLOOKUP(TEXT(A112, "mmm-yy"), TEXT([2]GASOLINE!$B$5:$B$208, "mmm-yy"), [2]GASOLINE!$C$5:$C$208, "Not Found")</f>
        <v>8014.7416358039673</v>
      </c>
      <c r="M112" cm="1">
        <f t="array" aca="1" ref="M112" ca="1">_xlfn.XLOOKUP(TEXT(A112, "mmm-yy"), TEXT([2]RUNS!$B$5:$B$208, "mmm-yy"), [2]RUNS!$BM$5:$BM$208, "Not Found")</f>
        <v>0.80612045967097878</v>
      </c>
    </row>
    <row r="113" spans="1:13" x14ac:dyDescent="0.25">
      <c r="A113" s="1">
        <f t="shared" ca="1" si="3"/>
        <v>45960</v>
      </c>
      <c r="B113" cm="1">
        <f t="array" aca="1" ref="B113" ca="1">_xlfn.XLOOKUP(TEXT(A113, "mmm-yy"), TEXT([1]Monthly!$C:$C, "mmm-yy"), [1]Monthly!$O:$O, "Not Found")</f>
        <v>67.352164742720163</v>
      </c>
      <c r="C113" cm="1">
        <f t="array" aca="1" ref="C113" ca="1">_xlfn.XLOOKUP(TEXT(A113, "mmm-yy"), TEXT([1]Monthly!$C:$C, "mmm-yy"), [1]Monthly!$P:$P, "Not Found")</f>
        <v>66.991392324078362</v>
      </c>
      <c r="D113" cm="1">
        <f t="array" aca="1" ref="D113" ca="1">_xlfn.XLOOKUP(TEXT(A113, "mmm-yy"), TEXT([1]Monthly!$C:$C, "mmm-yy"), [1]Monthly!$R:$R, "Not Found")</f>
        <v>62.799554262716029</v>
      </c>
      <c r="E113" cm="1">
        <f t="array" aca="1" ref="E113" ca="1">_xlfn.XLOOKUP(TEXT(A113, "mmm-yy"), TEXT([1]Monthly!$C:$C, "mmm-yy"), [1]Monthly!$S:$S, "Not Found")</f>
        <v>73.692164742720166</v>
      </c>
      <c r="F113" cm="1">
        <f t="array" aca="1" ref="F113" ca="1">_xlfn.XLOOKUP(TEXT(A113, "mmm-yy"), TEXT([2]RUNS!$B$5:$B$208, "mmm-yy"), [2]RUNS!$D$5:$D$208, "Not Found")</f>
        <v>30196.546910861165</v>
      </c>
      <c r="G113">
        <f>AVERAGE([3]Sheet1!$H2335,[3]Sheet1!$H2597)</f>
        <v>14001.625</v>
      </c>
      <c r="H113">
        <f>AVERAGE([3]Sheet1!$I2335,[3]Sheet1!$I2597)</f>
        <v>0.35500000000000398</v>
      </c>
      <c r="I113" cm="1">
        <f t="array" aca="1" ref="I113" ca="1">_xlfn.XLOOKUP(TEXT(A113, "mmm-yy"), TEXT([2]GASOLINE!$B$5:$B$208, "mmm-yy"), [2]GASOLINE!$IR$5:$IR$208, "Not Found")</f>
        <v>-459.82900464317572</v>
      </c>
      <c r="J113" cm="1">
        <f t="array" aca="1" ref="J113" ca="1">_xlfn.XLOOKUP(TEXT(A113, "mmm-yy"), TEXT([2]GASOLINE!$B$5:$B$208, "mmm-yy"), [2]GASOLINE!$IK$5:$IK$208, "Not Found")</f>
        <v>321.95079755835258</v>
      </c>
      <c r="K113">
        <f t="shared" ca="1" si="2"/>
        <v>0</v>
      </c>
      <c r="L113" cm="1">
        <f t="array" aca="1" ref="L113" ca="1">_xlfn.XLOOKUP(TEXT(A113, "mmm-yy"), TEXT([2]GASOLINE!$B$5:$B$208, "mmm-yy"), [2]GASOLINE!$C$5:$C$208, "Not Found")</f>
        <v>8014.7416358039673</v>
      </c>
      <c r="M113" cm="1">
        <f t="array" aca="1" ref="M113" ca="1">_xlfn.XLOOKUP(TEXT(A113, "mmm-yy"), TEXT([2]RUNS!$B$5:$B$208, "mmm-yy"), [2]RUNS!$BM$5:$BM$208, "Not Found")</f>
        <v>0.80612045967097878</v>
      </c>
    </row>
    <row r="114" spans="1:13" x14ac:dyDescent="0.25">
      <c r="A114" s="1">
        <f t="shared" ca="1" si="3"/>
        <v>45961</v>
      </c>
      <c r="B114" cm="1">
        <f t="array" aca="1" ref="B114" ca="1">_xlfn.XLOOKUP(TEXT(A114, "mmm-yy"), TEXT([1]Monthly!$C:$C, "mmm-yy"), [1]Monthly!$O:$O, "Not Found")</f>
        <v>67.352164742720163</v>
      </c>
      <c r="C114" cm="1">
        <f t="array" aca="1" ref="C114" ca="1">_xlfn.XLOOKUP(TEXT(A114, "mmm-yy"), TEXT([1]Monthly!$C:$C, "mmm-yy"), [1]Monthly!$P:$P, "Not Found")</f>
        <v>66.991392324078362</v>
      </c>
      <c r="D114" cm="1">
        <f t="array" aca="1" ref="D114" ca="1">_xlfn.XLOOKUP(TEXT(A114, "mmm-yy"), TEXT([1]Monthly!$C:$C, "mmm-yy"), [1]Monthly!$R:$R, "Not Found")</f>
        <v>62.799554262716029</v>
      </c>
      <c r="E114" cm="1">
        <f t="array" aca="1" ref="E114" ca="1">_xlfn.XLOOKUP(TEXT(A114, "mmm-yy"), TEXT([1]Monthly!$C:$C, "mmm-yy"), [1]Monthly!$S:$S, "Not Found")</f>
        <v>73.692164742720166</v>
      </c>
      <c r="F114" cm="1">
        <f t="array" aca="1" ref="F114" ca="1">_xlfn.XLOOKUP(TEXT(A114, "mmm-yy"), TEXT([2]RUNS!$B$5:$B$208, "mmm-yy"), [2]RUNS!$D$5:$D$208, "Not Found")</f>
        <v>30196.546910861165</v>
      </c>
      <c r="G114">
        <f>AVERAGE([3]Sheet1!$H2336,[3]Sheet1!$H2598)</f>
        <v>14001.625</v>
      </c>
      <c r="H114">
        <f>AVERAGE([3]Sheet1!$I2336,[3]Sheet1!$I2598)</f>
        <v>0.35000000000000142</v>
      </c>
      <c r="I114" cm="1">
        <f t="array" aca="1" ref="I114" ca="1">_xlfn.XLOOKUP(TEXT(A114, "mmm-yy"), TEXT([2]GASOLINE!$B$5:$B$208, "mmm-yy"), [2]GASOLINE!$IR$5:$IR$208, "Not Found")</f>
        <v>-459.82900464317572</v>
      </c>
      <c r="J114" cm="1">
        <f t="array" aca="1" ref="J114" ca="1">_xlfn.XLOOKUP(TEXT(A114, "mmm-yy"), TEXT([2]GASOLINE!$B$5:$B$208, "mmm-yy"), [2]GASOLINE!$IK$5:$IK$208, "Not Found")</f>
        <v>321.95079755835258</v>
      </c>
      <c r="K114">
        <f t="shared" ca="1" si="2"/>
        <v>0</v>
      </c>
      <c r="L114" cm="1">
        <f t="array" aca="1" ref="L114" ca="1">_xlfn.XLOOKUP(TEXT(A114, "mmm-yy"), TEXT([2]GASOLINE!$B$5:$B$208, "mmm-yy"), [2]GASOLINE!$C$5:$C$208, "Not Found")</f>
        <v>8014.7416358039673</v>
      </c>
      <c r="M114" cm="1">
        <f t="array" aca="1" ref="M114" ca="1">_xlfn.XLOOKUP(TEXT(A114, "mmm-yy"), TEXT([2]RUNS!$B$5:$B$208, "mmm-yy"), [2]RUNS!$BM$5:$BM$208, "Not Found")</f>
        <v>0.80612045967097878</v>
      </c>
    </row>
    <row r="115" spans="1:13" x14ac:dyDescent="0.25">
      <c r="A115" s="1">
        <f t="shared" ca="1" si="3"/>
        <v>45962</v>
      </c>
      <c r="B115" cm="1">
        <f t="array" aca="1" ref="B115" ca="1">_xlfn.XLOOKUP(TEXT(A115, "mmm-yy"), TEXT([1]Monthly!$C:$C, "mmm-yy"), [1]Monthly!$O:$O, "Not Found")</f>
        <v>67.889848931742961</v>
      </c>
      <c r="C115" cm="1">
        <f t="array" aca="1" ref="C115" ca="1">_xlfn.XLOOKUP(TEXT(A115, "mmm-yy"), TEXT([1]Monthly!$C:$C, "mmm-yy"), [1]Monthly!$P:$P, "Not Found")</f>
        <v>66.695470012001167</v>
      </c>
      <c r="D115" cm="1">
        <f t="array" aca="1" ref="D115" ca="1">_xlfn.XLOOKUP(TEXT(A115, "mmm-yy"), TEXT([1]Monthly!$C:$C, "mmm-yy"), [1]Monthly!$R:$R, "Not Found")</f>
        <v>62.659595177805144</v>
      </c>
      <c r="E115" cm="1">
        <f t="array" aca="1" ref="E115" ca="1">_xlfn.XLOOKUP(TEXT(A115, "mmm-yy"), TEXT([1]Monthly!$C:$C, "mmm-yy"), [1]Monthly!$S:$S, "Not Found")</f>
        <v>75.049848931742957</v>
      </c>
      <c r="F115" cm="1">
        <f t="array" aca="1" ref="F115" ca="1">_xlfn.XLOOKUP(TEXT(A115, "mmm-yy"), TEXT([2]RUNS!$B$5:$B$208, "mmm-yy"), [2]RUNS!$D$5:$D$208, "Not Found")</f>
        <v>30694.801932553964</v>
      </c>
      <c r="G115">
        <f>AVERAGE([3]Sheet1!$H2337,[3]Sheet1!$H2599)</f>
        <v>14001.625</v>
      </c>
      <c r="H115">
        <f>AVERAGE([3]Sheet1!$I2337,[3]Sheet1!$I2599)</f>
        <v>0.35999999999999943</v>
      </c>
      <c r="I115" cm="1">
        <f t="array" aca="1" ref="I115" ca="1">_xlfn.XLOOKUP(TEXT(A115, "mmm-yy"), TEXT([2]GASOLINE!$B$5:$B$208, "mmm-yy"), [2]GASOLINE!$IR$5:$IR$208, "Not Found")</f>
        <v>-389.64184456073792</v>
      </c>
      <c r="J115" cm="1">
        <f t="array" aca="1" ref="J115" ca="1">_xlfn.XLOOKUP(TEXT(A115, "mmm-yy"), TEXT([2]GASOLINE!$B$5:$B$208, "mmm-yy"), [2]GASOLINE!$IK$5:$IK$208, "Not Found")</f>
        <v>330.07164012305395</v>
      </c>
      <c r="K115">
        <f t="shared" ca="1" si="2"/>
        <v>0</v>
      </c>
      <c r="L115" cm="1">
        <f t="array" aca="1" ref="L115" ca="1">_xlfn.XLOOKUP(TEXT(A115, "mmm-yy"), TEXT([2]GASOLINE!$B$5:$B$208, "mmm-yy"), [2]GASOLINE!$C$5:$C$208, "Not Found")</f>
        <v>7899.8359771845016</v>
      </c>
      <c r="M115" cm="1">
        <f t="array" aca="1" ref="M115" ca="1">_xlfn.XLOOKUP(TEXT(A115, "mmm-yy"), TEXT([2]RUNS!$B$5:$B$208, "mmm-yy"), [2]RUNS!$BM$5:$BM$208, "Not Found")</f>
        <v>0.81942176754257201</v>
      </c>
    </row>
    <row r="116" spans="1:13" x14ac:dyDescent="0.25">
      <c r="A116" s="1">
        <f t="shared" ca="1" si="3"/>
        <v>45963</v>
      </c>
      <c r="B116" cm="1">
        <f t="array" aca="1" ref="B116" ca="1">_xlfn.XLOOKUP(TEXT(A116, "mmm-yy"), TEXT([1]Monthly!$C:$C, "mmm-yy"), [1]Monthly!$O:$O, "Not Found")</f>
        <v>67.889848931742961</v>
      </c>
      <c r="C116" cm="1">
        <f t="array" aca="1" ref="C116" ca="1">_xlfn.XLOOKUP(TEXT(A116, "mmm-yy"), TEXT([1]Monthly!$C:$C, "mmm-yy"), [1]Monthly!$P:$P, "Not Found")</f>
        <v>66.695470012001167</v>
      </c>
      <c r="D116" cm="1">
        <f t="array" aca="1" ref="D116" ca="1">_xlfn.XLOOKUP(TEXT(A116, "mmm-yy"), TEXT([1]Monthly!$C:$C, "mmm-yy"), [1]Monthly!$R:$R, "Not Found")</f>
        <v>62.659595177805144</v>
      </c>
      <c r="E116" cm="1">
        <f t="array" aca="1" ref="E116" ca="1">_xlfn.XLOOKUP(TEXT(A116, "mmm-yy"), TEXT([1]Monthly!$C:$C, "mmm-yy"), [1]Monthly!$S:$S, "Not Found")</f>
        <v>75.049848931742957</v>
      </c>
      <c r="F116" cm="1">
        <f t="array" aca="1" ref="F116" ca="1">_xlfn.XLOOKUP(TEXT(A116, "mmm-yy"), TEXT([2]RUNS!$B$5:$B$208, "mmm-yy"), [2]RUNS!$D$5:$D$208, "Not Found")</f>
        <v>30694.801932553964</v>
      </c>
      <c r="G116">
        <f>AVERAGE([3]Sheet1!$H2338,[3]Sheet1!$H2600)</f>
        <v>14001.625</v>
      </c>
      <c r="H116">
        <f>AVERAGE([3]Sheet1!$I2338,[3]Sheet1!$I2600)</f>
        <v>0.45000000000000284</v>
      </c>
      <c r="I116" cm="1">
        <f t="array" aca="1" ref="I116" ca="1">_xlfn.XLOOKUP(TEXT(A116, "mmm-yy"), TEXT([2]GASOLINE!$B$5:$B$208, "mmm-yy"), [2]GASOLINE!$IR$5:$IR$208, "Not Found")</f>
        <v>-389.64184456073792</v>
      </c>
      <c r="J116" cm="1">
        <f t="array" aca="1" ref="J116" ca="1">_xlfn.XLOOKUP(TEXT(A116, "mmm-yy"), TEXT([2]GASOLINE!$B$5:$B$208, "mmm-yy"), [2]GASOLINE!$IK$5:$IK$208, "Not Found")</f>
        <v>330.07164012305395</v>
      </c>
      <c r="K116">
        <f t="shared" ca="1" si="2"/>
        <v>0</v>
      </c>
      <c r="L116" cm="1">
        <f t="array" aca="1" ref="L116" ca="1">_xlfn.XLOOKUP(TEXT(A116, "mmm-yy"), TEXT([2]GASOLINE!$B$5:$B$208, "mmm-yy"), [2]GASOLINE!$C$5:$C$208, "Not Found")</f>
        <v>7899.8359771845016</v>
      </c>
      <c r="M116" cm="1">
        <f t="array" aca="1" ref="M116" ca="1">_xlfn.XLOOKUP(TEXT(A116, "mmm-yy"), TEXT([2]RUNS!$B$5:$B$208, "mmm-yy"), [2]RUNS!$BM$5:$BM$208, "Not Found")</f>
        <v>0.81942176754257201</v>
      </c>
    </row>
    <row r="117" spans="1:13" x14ac:dyDescent="0.25">
      <c r="A117" s="1">
        <f t="shared" ca="1" si="3"/>
        <v>45964</v>
      </c>
      <c r="B117" cm="1">
        <f t="array" aca="1" ref="B117" ca="1">_xlfn.XLOOKUP(TEXT(A117, "mmm-yy"), TEXT([1]Monthly!$C:$C, "mmm-yy"), [1]Monthly!$O:$O, "Not Found")</f>
        <v>67.889848931742961</v>
      </c>
      <c r="C117" cm="1">
        <f t="array" aca="1" ref="C117" ca="1">_xlfn.XLOOKUP(TEXT(A117, "mmm-yy"), TEXT([1]Monthly!$C:$C, "mmm-yy"), [1]Monthly!$P:$P, "Not Found")</f>
        <v>66.695470012001167</v>
      </c>
      <c r="D117" cm="1">
        <f t="array" aca="1" ref="D117" ca="1">_xlfn.XLOOKUP(TEXT(A117, "mmm-yy"), TEXT([1]Monthly!$C:$C, "mmm-yy"), [1]Monthly!$R:$R, "Not Found")</f>
        <v>62.659595177805144</v>
      </c>
      <c r="E117" cm="1">
        <f t="array" aca="1" ref="E117" ca="1">_xlfn.XLOOKUP(TEXT(A117, "mmm-yy"), TEXT([1]Monthly!$C:$C, "mmm-yy"), [1]Monthly!$S:$S, "Not Found")</f>
        <v>75.049848931742957</v>
      </c>
      <c r="F117" cm="1">
        <f t="array" aca="1" ref="F117" ca="1">_xlfn.XLOOKUP(TEXT(A117, "mmm-yy"), TEXT([2]RUNS!$B$5:$B$208, "mmm-yy"), [2]RUNS!$D$5:$D$208, "Not Found")</f>
        <v>30694.801932553964</v>
      </c>
      <c r="G117">
        <f>AVERAGE([3]Sheet1!$H2339,[3]Sheet1!$H2601)</f>
        <v>14001.625</v>
      </c>
      <c r="H117">
        <f>AVERAGE([3]Sheet1!$I2339,[3]Sheet1!$I2601)</f>
        <v>0.44000000000000483</v>
      </c>
      <c r="I117" cm="1">
        <f t="array" aca="1" ref="I117" ca="1">_xlfn.XLOOKUP(TEXT(A117, "mmm-yy"), TEXT([2]GASOLINE!$B$5:$B$208, "mmm-yy"), [2]GASOLINE!$IR$5:$IR$208, "Not Found")</f>
        <v>-389.64184456073792</v>
      </c>
      <c r="J117" cm="1">
        <f t="array" aca="1" ref="J117" ca="1">_xlfn.XLOOKUP(TEXT(A117, "mmm-yy"), TEXT([2]GASOLINE!$B$5:$B$208, "mmm-yy"), [2]GASOLINE!$IK$5:$IK$208, "Not Found")</f>
        <v>330.07164012305395</v>
      </c>
      <c r="K117">
        <f t="shared" ca="1" si="2"/>
        <v>0</v>
      </c>
      <c r="L117" cm="1">
        <f t="array" aca="1" ref="L117" ca="1">_xlfn.XLOOKUP(TEXT(A117, "mmm-yy"), TEXT([2]GASOLINE!$B$5:$B$208, "mmm-yy"), [2]GASOLINE!$C$5:$C$208, "Not Found")</f>
        <v>7899.8359771845016</v>
      </c>
      <c r="M117" cm="1">
        <f t="array" aca="1" ref="M117" ca="1">_xlfn.XLOOKUP(TEXT(A117, "mmm-yy"), TEXT([2]RUNS!$B$5:$B$208, "mmm-yy"), [2]RUNS!$BM$5:$BM$208, "Not Found")</f>
        <v>0.81942176754257201</v>
      </c>
    </row>
    <row r="118" spans="1:13" x14ac:dyDescent="0.25">
      <c r="A118" s="1">
        <f t="shared" ca="1" si="3"/>
        <v>45965</v>
      </c>
      <c r="B118" cm="1">
        <f t="array" aca="1" ref="B118" ca="1">_xlfn.XLOOKUP(TEXT(A118, "mmm-yy"), TEXT([1]Monthly!$C:$C, "mmm-yy"), [1]Monthly!$O:$O, "Not Found")</f>
        <v>67.889848931742961</v>
      </c>
      <c r="C118" cm="1">
        <f t="array" aca="1" ref="C118" ca="1">_xlfn.XLOOKUP(TEXT(A118, "mmm-yy"), TEXT([1]Monthly!$C:$C, "mmm-yy"), [1]Monthly!$P:$P, "Not Found")</f>
        <v>66.695470012001167</v>
      </c>
      <c r="D118" cm="1">
        <f t="array" aca="1" ref="D118" ca="1">_xlfn.XLOOKUP(TEXT(A118, "mmm-yy"), TEXT([1]Monthly!$C:$C, "mmm-yy"), [1]Monthly!$R:$R, "Not Found")</f>
        <v>62.659595177805144</v>
      </c>
      <c r="E118" cm="1">
        <f t="array" aca="1" ref="E118" ca="1">_xlfn.XLOOKUP(TEXT(A118, "mmm-yy"), TEXT([1]Monthly!$C:$C, "mmm-yy"), [1]Monthly!$S:$S, "Not Found")</f>
        <v>75.049848931742957</v>
      </c>
      <c r="F118" cm="1">
        <f t="array" aca="1" ref="F118" ca="1">_xlfn.XLOOKUP(TEXT(A118, "mmm-yy"), TEXT([2]RUNS!$B$5:$B$208, "mmm-yy"), [2]RUNS!$D$5:$D$208, "Not Found")</f>
        <v>30694.801932553964</v>
      </c>
      <c r="G118">
        <f>AVERAGE([3]Sheet1!$H2340,[3]Sheet1!$H2602)</f>
        <v>14001.625</v>
      </c>
      <c r="H118">
        <f>AVERAGE([3]Sheet1!$I2340,[3]Sheet1!$I2602)</f>
        <v>0.35500000000000398</v>
      </c>
      <c r="I118" cm="1">
        <f t="array" aca="1" ref="I118" ca="1">_xlfn.XLOOKUP(TEXT(A118, "mmm-yy"), TEXT([2]GASOLINE!$B$5:$B$208, "mmm-yy"), [2]GASOLINE!$IR$5:$IR$208, "Not Found")</f>
        <v>-389.64184456073792</v>
      </c>
      <c r="J118" cm="1">
        <f t="array" aca="1" ref="J118" ca="1">_xlfn.XLOOKUP(TEXT(A118, "mmm-yy"), TEXT([2]GASOLINE!$B$5:$B$208, "mmm-yy"), [2]GASOLINE!$IK$5:$IK$208, "Not Found")</f>
        <v>330.07164012305395</v>
      </c>
      <c r="K118">
        <f t="shared" ca="1" si="2"/>
        <v>0</v>
      </c>
      <c r="L118" cm="1">
        <f t="array" aca="1" ref="L118" ca="1">_xlfn.XLOOKUP(TEXT(A118, "mmm-yy"), TEXT([2]GASOLINE!$B$5:$B$208, "mmm-yy"), [2]GASOLINE!$C$5:$C$208, "Not Found")</f>
        <v>7899.8359771845016</v>
      </c>
      <c r="M118" cm="1">
        <f t="array" aca="1" ref="M118" ca="1">_xlfn.XLOOKUP(TEXT(A118, "mmm-yy"), TEXT([2]RUNS!$B$5:$B$208, "mmm-yy"), [2]RUNS!$BM$5:$BM$208, "Not Found")</f>
        <v>0.81942176754257201</v>
      </c>
    </row>
    <row r="119" spans="1:13" x14ac:dyDescent="0.25">
      <c r="A119" s="1">
        <f t="shared" ca="1" si="3"/>
        <v>45966</v>
      </c>
      <c r="B119" cm="1">
        <f t="array" aca="1" ref="B119" ca="1">_xlfn.XLOOKUP(TEXT(A119, "mmm-yy"), TEXT([1]Monthly!$C:$C, "mmm-yy"), [1]Monthly!$O:$O, "Not Found")</f>
        <v>67.889848931742961</v>
      </c>
      <c r="C119" cm="1">
        <f t="array" aca="1" ref="C119" ca="1">_xlfn.XLOOKUP(TEXT(A119, "mmm-yy"), TEXT([1]Monthly!$C:$C, "mmm-yy"), [1]Monthly!$P:$P, "Not Found")</f>
        <v>66.695470012001167</v>
      </c>
      <c r="D119" cm="1">
        <f t="array" aca="1" ref="D119" ca="1">_xlfn.XLOOKUP(TEXT(A119, "mmm-yy"), TEXT([1]Monthly!$C:$C, "mmm-yy"), [1]Monthly!$R:$R, "Not Found")</f>
        <v>62.659595177805144</v>
      </c>
      <c r="E119" cm="1">
        <f t="array" aca="1" ref="E119" ca="1">_xlfn.XLOOKUP(TEXT(A119, "mmm-yy"), TEXT([1]Monthly!$C:$C, "mmm-yy"), [1]Monthly!$S:$S, "Not Found")</f>
        <v>75.049848931742957</v>
      </c>
      <c r="F119" cm="1">
        <f t="array" aca="1" ref="F119" ca="1">_xlfn.XLOOKUP(TEXT(A119, "mmm-yy"), TEXT([2]RUNS!$B$5:$B$208, "mmm-yy"), [2]RUNS!$D$5:$D$208, "Not Found")</f>
        <v>30694.801932553964</v>
      </c>
      <c r="G119">
        <f>AVERAGE([3]Sheet1!$H2341,[3]Sheet1!$H2603)</f>
        <v>14001.625</v>
      </c>
      <c r="H119">
        <f>AVERAGE([3]Sheet1!$I2341,[3]Sheet1!$I2603)</f>
        <v>0.32000000000000028</v>
      </c>
      <c r="I119" cm="1">
        <f t="array" aca="1" ref="I119" ca="1">_xlfn.XLOOKUP(TEXT(A119, "mmm-yy"), TEXT([2]GASOLINE!$B$5:$B$208, "mmm-yy"), [2]GASOLINE!$IR$5:$IR$208, "Not Found")</f>
        <v>-389.64184456073792</v>
      </c>
      <c r="J119" cm="1">
        <f t="array" aca="1" ref="J119" ca="1">_xlfn.XLOOKUP(TEXT(A119, "mmm-yy"), TEXT([2]GASOLINE!$B$5:$B$208, "mmm-yy"), [2]GASOLINE!$IK$5:$IK$208, "Not Found")</f>
        <v>330.07164012305395</v>
      </c>
      <c r="K119">
        <f t="shared" ca="1" si="2"/>
        <v>0</v>
      </c>
      <c r="L119" cm="1">
        <f t="array" aca="1" ref="L119" ca="1">_xlfn.XLOOKUP(TEXT(A119, "mmm-yy"), TEXT([2]GASOLINE!$B$5:$B$208, "mmm-yy"), [2]GASOLINE!$C$5:$C$208, "Not Found")</f>
        <v>7899.8359771845016</v>
      </c>
      <c r="M119" cm="1">
        <f t="array" aca="1" ref="M119" ca="1">_xlfn.XLOOKUP(TEXT(A119, "mmm-yy"), TEXT([2]RUNS!$B$5:$B$208, "mmm-yy"), [2]RUNS!$BM$5:$BM$208, "Not Found")</f>
        <v>0.81942176754257201</v>
      </c>
    </row>
    <row r="120" spans="1:13" x14ac:dyDescent="0.25">
      <c r="A120" s="1">
        <f t="shared" ca="1" si="3"/>
        <v>45967</v>
      </c>
      <c r="B120" cm="1">
        <f t="array" aca="1" ref="B120" ca="1">_xlfn.XLOOKUP(TEXT(A120, "mmm-yy"), TEXT([1]Monthly!$C:$C, "mmm-yy"), [1]Monthly!$O:$O, "Not Found")</f>
        <v>67.889848931742961</v>
      </c>
      <c r="C120" cm="1">
        <f t="array" aca="1" ref="C120" ca="1">_xlfn.XLOOKUP(TEXT(A120, "mmm-yy"), TEXT([1]Monthly!$C:$C, "mmm-yy"), [1]Monthly!$P:$P, "Not Found")</f>
        <v>66.695470012001167</v>
      </c>
      <c r="D120" cm="1">
        <f t="array" aca="1" ref="D120" ca="1">_xlfn.XLOOKUP(TEXT(A120, "mmm-yy"), TEXT([1]Monthly!$C:$C, "mmm-yy"), [1]Monthly!$R:$R, "Not Found")</f>
        <v>62.659595177805144</v>
      </c>
      <c r="E120" cm="1">
        <f t="array" aca="1" ref="E120" ca="1">_xlfn.XLOOKUP(TEXT(A120, "mmm-yy"), TEXT([1]Monthly!$C:$C, "mmm-yy"), [1]Monthly!$S:$S, "Not Found")</f>
        <v>75.049848931742957</v>
      </c>
      <c r="F120" cm="1">
        <f t="array" aca="1" ref="F120" ca="1">_xlfn.XLOOKUP(TEXT(A120, "mmm-yy"), TEXT([2]RUNS!$B$5:$B$208, "mmm-yy"), [2]RUNS!$D$5:$D$208, "Not Found")</f>
        <v>30694.801932553964</v>
      </c>
      <c r="G120">
        <f>AVERAGE([3]Sheet1!$H2342,[3]Sheet1!$H2604)</f>
        <v>14001.625</v>
      </c>
      <c r="H120">
        <f>AVERAGE([3]Sheet1!$I2342,[3]Sheet1!$I2604)</f>
        <v>0.21999999999999886</v>
      </c>
      <c r="I120" cm="1">
        <f t="array" aca="1" ref="I120" ca="1">_xlfn.XLOOKUP(TEXT(A120, "mmm-yy"), TEXT([2]GASOLINE!$B$5:$B$208, "mmm-yy"), [2]GASOLINE!$IR$5:$IR$208, "Not Found")</f>
        <v>-389.64184456073792</v>
      </c>
      <c r="J120" cm="1">
        <f t="array" aca="1" ref="J120" ca="1">_xlfn.XLOOKUP(TEXT(A120, "mmm-yy"), TEXT([2]GASOLINE!$B$5:$B$208, "mmm-yy"), [2]GASOLINE!$IK$5:$IK$208, "Not Found")</f>
        <v>330.07164012305395</v>
      </c>
      <c r="K120">
        <f t="shared" ca="1" si="2"/>
        <v>0</v>
      </c>
      <c r="L120" cm="1">
        <f t="array" aca="1" ref="L120" ca="1">_xlfn.XLOOKUP(TEXT(A120, "mmm-yy"), TEXT([2]GASOLINE!$B$5:$B$208, "mmm-yy"), [2]GASOLINE!$C$5:$C$208, "Not Found")</f>
        <v>7899.8359771845016</v>
      </c>
      <c r="M120" cm="1">
        <f t="array" aca="1" ref="M120" ca="1">_xlfn.XLOOKUP(TEXT(A120, "mmm-yy"), TEXT([2]RUNS!$B$5:$B$208, "mmm-yy"), [2]RUNS!$BM$5:$BM$208, "Not Found")</f>
        <v>0.81942176754257201</v>
      </c>
    </row>
    <row r="121" spans="1:13" x14ac:dyDescent="0.25">
      <c r="A121" s="1">
        <f t="shared" ca="1" si="3"/>
        <v>45968</v>
      </c>
      <c r="B121" cm="1">
        <f t="array" aca="1" ref="B121" ca="1">_xlfn.XLOOKUP(TEXT(A121, "mmm-yy"), TEXT([1]Monthly!$C:$C, "mmm-yy"), [1]Monthly!$O:$O, "Not Found")</f>
        <v>67.889848931742961</v>
      </c>
      <c r="C121" cm="1">
        <f t="array" aca="1" ref="C121" ca="1">_xlfn.XLOOKUP(TEXT(A121, "mmm-yy"), TEXT([1]Monthly!$C:$C, "mmm-yy"), [1]Monthly!$P:$P, "Not Found")</f>
        <v>66.695470012001167</v>
      </c>
      <c r="D121" cm="1">
        <f t="array" aca="1" ref="D121" ca="1">_xlfn.XLOOKUP(TEXT(A121, "mmm-yy"), TEXT([1]Monthly!$C:$C, "mmm-yy"), [1]Monthly!$R:$R, "Not Found")</f>
        <v>62.659595177805144</v>
      </c>
      <c r="E121" cm="1">
        <f t="array" aca="1" ref="E121" ca="1">_xlfn.XLOOKUP(TEXT(A121, "mmm-yy"), TEXT([1]Monthly!$C:$C, "mmm-yy"), [1]Monthly!$S:$S, "Not Found")</f>
        <v>75.049848931742957</v>
      </c>
      <c r="F121" cm="1">
        <f t="array" aca="1" ref="F121" ca="1">_xlfn.XLOOKUP(TEXT(A121, "mmm-yy"), TEXT([2]RUNS!$B$5:$B$208, "mmm-yy"), [2]RUNS!$D$5:$D$208, "Not Found")</f>
        <v>30694.801932553964</v>
      </c>
      <c r="G121">
        <f>AVERAGE([3]Sheet1!$H2343,[3]Sheet1!$H2605)</f>
        <v>14001.625</v>
      </c>
      <c r="H121">
        <f>AVERAGE([3]Sheet1!$I2343,[3]Sheet1!$I2605)</f>
        <v>0.22499999999999432</v>
      </c>
      <c r="I121" cm="1">
        <f t="array" aca="1" ref="I121" ca="1">_xlfn.XLOOKUP(TEXT(A121, "mmm-yy"), TEXT([2]GASOLINE!$B$5:$B$208, "mmm-yy"), [2]GASOLINE!$IR$5:$IR$208, "Not Found")</f>
        <v>-389.64184456073792</v>
      </c>
      <c r="J121" cm="1">
        <f t="array" aca="1" ref="J121" ca="1">_xlfn.XLOOKUP(TEXT(A121, "mmm-yy"), TEXT([2]GASOLINE!$B$5:$B$208, "mmm-yy"), [2]GASOLINE!$IK$5:$IK$208, "Not Found")</f>
        <v>330.07164012305395</v>
      </c>
      <c r="K121">
        <f t="shared" ca="1" si="2"/>
        <v>0</v>
      </c>
      <c r="L121" cm="1">
        <f t="array" aca="1" ref="L121" ca="1">_xlfn.XLOOKUP(TEXT(A121, "mmm-yy"), TEXT([2]GASOLINE!$B$5:$B$208, "mmm-yy"), [2]GASOLINE!$C$5:$C$208, "Not Found")</f>
        <v>7899.8359771845016</v>
      </c>
      <c r="M121" cm="1">
        <f t="array" aca="1" ref="M121" ca="1">_xlfn.XLOOKUP(TEXT(A121, "mmm-yy"), TEXT([2]RUNS!$B$5:$B$208, "mmm-yy"), [2]RUNS!$BM$5:$BM$208, "Not Found")</f>
        <v>0.81942176754257201</v>
      </c>
    </row>
    <row r="122" spans="1:13" x14ac:dyDescent="0.25">
      <c r="A122" s="1">
        <f t="shared" ca="1" si="3"/>
        <v>45969</v>
      </c>
      <c r="B122" cm="1">
        <f t="array" aca="1" ref="B122" ca="1">_xlfn.XLOOKUP(TEXT(A122, "mmm-yy"), TEXT([1]Monthly!$C:$C, "mmm-yy"), [1]Monthly!$O:$O, "Not Found")</f>
        <v>67.889848931742961</v>
      </c>
      <c r="C122" cm="1">
        <f t="array" aca="1" ref="C122" ca="1">_xlfn.XLOOKUP(TEXT(A122, "mmm-yy"), TEXT([1]Monthly!$C:$C, "mmm-yy"), [1]Monthly!$P:$P, "Not Found")</f>
        <v>66.695470012001167</v>
      </c>
      <c r="D122" cm="1">
        <f t="array" aca="1" ref="D122" ca="1">_xlfn.XLOOKUP(TEXT(A122, "mmm-yy"), TEXT([1]Monthly!$C:$C, "mmm-yy"), [1]Monthly!$R:$R, "Not Found")</f>
        <v>62.659595177805144</v>
      </c>
      <c r="E122" cm="1">
        <f t="array" aca="1" ref="E122" ca="1">_xlfn.XLOOKUP(TEXT(A122, "mmm-yy"), TEXT([1]Monthly!$C:$C, "mmm-yy"), [1]Monthly!$S:$S, "Not Found")</f>
        <v>75.049848931742957</v>
      </c>
      <c r="F122" cm="1">
        <f t="array" aca="1" ref="F122" ca="1">_xlfn.XLOOKUP(TEXT(A122, "mmm-yy"), TEXT([2]RUNS!$B$5:$B$208, "mmm-yy"), [2]RUNS!$D$5:$D$208, "Not Found")</f>
        <v>30694.801932553964</v>
      </c>
      <c r="G122">
        <f>AVERAGE([3]Sheet1!$H2344,[3]Sheet1!$H2606)</f>
        <v>14001.625</v>
      </c>
      <c r="H122">
        <f>AVERAGE([3]Sheet1!$I2344,[3]Sheet1!$I2606)</f>
        <v>0.21999999999999886</v>
      </c>
      <c r="I122" cm="1">
        <f t="array" aca="1" ref="I122" ca="1">_xlfn.XLOOKUP(TEXT(A122, "mmm-yy"), TEXT([2]GASOLINE!$B$5:$B$208, "mmm-yy"), [2]GASOLINE!$IR$5:$IR$208, "Not Found")</f>
        <v>-389.64184456073792</v>
      </c>
      <c r="J122" cm="1">
        <f t="array" aca="1" ref="J122" ca="1">_xlfn.XLOOKUP(TEXT(A122, "mmm-yy"), TEXT([2]GASOLINE!$B$5:$B$208, "mmm-yy"), [2]GASOLINE!$IK$5:$IK$208, "Not Found")</f>
        <v>330.07164012305395</v>
      </c>
      <c r="K122">
        <f t="shared" ca="1" si="2"/>
        <v>0</v>
      </c>
      <c r="L122" cm="1">
        <f t="array" aca="1" ref="L122" ca="1">_xlfn.XLOOKUP(TEXT(A122, "mmm-yy"), TEXT([2]GASOLINE!$B$5:$B$208, "mmm-yy"), [2]GASOLINE!$C$5:$C$208, "Not Found")</f>
        <v>7899.8359771845016</v>
      </c>
      <c r="M122" cm="1">
        <f t="array" aca="1" ref="M122" ca="1">_xlfn.XLOOKUP(TEXT(A122, "mmm-yy"), TEXT([2]RUNS!$B$5:$B$208, "mmm-yy"), [2]RUNS!$BM$5:$BM$208, "Not Found")</f>
        <v>0.81942176754257201</v>
      </c>
    </row>
    <row r="123" spans="1:13" x14ac:dyDescent="0.25">
      <c r="A123" s="1">
        <f t="shared" ca="1" si="3"/>
        <v>45970</v>
      </c>
      <c r="B123" cm="1">
        <f t="array" aca="1" ref="B123" ca="1">_xlfn.XLOOKUP(TEXT(A123, "mmm-yy"), TEXT([1]Monthly!$C:$C, "mmm-yy"), [1]Monthly!$O:$O, "Not Found")</f>
        <v>67.889848931742961</v>
      </c>
      <c r="C123" cm="1">
        <f t="array" aca="1" ref="C123" ca="1">_xlfn.XLOOKUP(TEXT(A123, "mmm-yy"), TEXT([1]Monthly!$C:$C, "mmm-yy"), [1]Monthly!$P:$P, "Not Found")</f>
        <v>66.695470012001167</v>
      </c>
      <c r="D123" cm="1">
        <f t="array" aca="1" ref="D123" ca="1">_xlfn.XLOOKUP(TEXT(A123, "mmm-yy"), TEXT([1]Monthly!$C:$C, "mmm-yy"), [1]Monthly!$R:$R, "Not Found")</f>
        <v>62.659595177805144</v>
      </c>
      <c r="E123" cm="1">
        <f t="array" aca="1" ref="E123" ca="1">_xlfn.XLOOKUP(TEXT(A123, "mmm-yy"), TEXT([1]Monthly!$C:$C, "mmm-yy"), [1]Monthly!$S:$S, "Not Found")</f>
        <v>75.049848931742957</v>
      </c>
      <c r="F123" cm="1">
        <f t="array" aca="1" ref="F123" ca="1">_xlfn.XLOOKUP(TEXT(A123, "mmm-yy"), TEXT([2]RUNS!$B$5:$B$208, "mmm-yy"), [2]RUNS!$D$5:$D$208, "Not Found")</f>
        <v>30694.801932553964</v>
      </c>
      <c r="G123">
        <f>AVERAGE([3]Sheet1!$H2345,[3]Sheet1!$H2607)</f>
        <v>14001.625</v>
      </c>
      <c r="H123">
        <f>AVERAGE([3]Sheet1!$I2345,[3]Sheet1!$I2607)</f>
        <v>0.21999999999999886</v>
      </c>
      <c r="I123" cm="1">
        <f t="array" aca="1" ref="I123" ca="1">_xlfn.XLOOKUP(TEXT(A123, "mmm-yy"), TEXT([2]GASOLINE!$B$5:$B$208, "mmm-yy"), [2]GASOLINE!$IR$5:$IR$208, "Not Found")</f>
        <v>-389.64184456073792</v>
      </c>
      <c r="J123" cm="1">
        <f t="array" aca="1" ref="J123" ca="1">_xlfn.XLOOKUP(TEXT(A123, "mmm-yy"), TEXT([2]GASOLINE!$B$5:$B$208, "mmm-yy"), [2]GASOLINE!$IK$5:$IK$208, "Not Found")</f>
        <v>330.07164012305395</v>
      </c>
      <c r="K123">
        <f t="shared" ca="1" si="2"/>
        <v>0</v>
      </c>
      <c r="L123" cm="1">
        <f t="array" aca="1" ref="L123" ca="1">_xlfn.XLOOKUP(TEXT(A123, "mmm-yy"), TEXT([2]GASOLINE!$B$5:$B$208, "mmm-yy"), [2]GASOLINE!$C$5:$C$208, "Not Found")</f>
        <v>7899.8359771845016</v>
      </c>
      <c r="M123" cm="1">
        <f t="array" aca="1" ref="M123" ca="1">_xlfn.XLOOKUP(TEXT(A123, "mmm-yy"), TEXT([2]RUNS!$B$5:$B$208, "mmm-yy"), [2]RUNS!$BM$5:$BM$208, "Not Found")</f>
        <v>0.81942176754257201</v>
      </c>
    </row>
    <row r="124" spans="1:13" x14ac:dyDescent="0.25">
      <c r="A124" s="1">
        <f t="shared" ca="1" si="3"/>
        <v>45971</v>
      </c>
      <c r="B124" cm="1">
        <f t="array" aca="1" ref="B124" ca="1">_xlfn.XLOOKUP(TEXT(A124, "mmm-yy"), TEXT([1]Monthly!$C:$C, "mmm-yy"), [1]Monthly!$O:$O, "Not Found")</f>
        <v>67.889848931742961</v>
      </c>
      <c r="C124" cm="1">
        <f t="array" aca="1" ref="C124" ca="1">_xlfn.XLOOKUP(TEXT(A124, "mmm-yy"), TEXT([1]Monthly!$C:$C, "mmm-yy"), [1]Monthly!$P:$P, "Not Found")</f>
        <v>66.695470012001167</v>
      </c>
      <c r="D124" cm="1">
        <f t="array" aca="1" ref="D124" ca="1">_xlfn.XLOOKUP(TEXT(A124, "mmm-yy"), TEXT([1]Monthly!$C:$C, "mmm-yy"), [1]Monthly!$R:$R, "Not Found")</f>
        <v>62.659595177805144</v>
      </c>
      <c r="E124" cm="1">
        <f t="array" aca="1" ref="E124" ca="1">_xlfn.XLOOKUP(TEXT(A124, "mmm-yy"), TEXT([1]Monthly!$C:$C, "mmm-yy"), [1]Monthly!$S:$S, "Not Found")</f>
        <v>75.049848931742957</v>
      </c>
      <c r="F124" cm="1">
        <f t="array" aca="1" ref="F124" ca="1">_xlfn.XLOOKUP(TEXT(A124, "mmm-yy"), TEXT([2]RUNS!$B$5:$B$208, "mmm-yy"), [2]RUNS!$D$5:$D$208, "Not Found")</f>
        <v>30694.801932553964</v>
      </c>
      <c r="G124">
        <f>AVERAGE([3]Sheet1!$H2346,[3]Sheet1!$H2608)</f>
        <v>14001.625</v>
      </c>
      <c r="H124">
        <f>AVERAGE([3]Sheet1!$I2346,[3]Sheet1!$I2608)</f>
        <v>0.33500000000000085</v>
      </c>
      <c r="I124" cm="1">
        <f t="array" aca="1" ref="I124" ca="1">_xlfn.XLOOKUP(TEXT(A124, "mmm-yy"), TEXT([2]GASOLINE!$B$5:$B$208, "mmm-yy"), [2]GASOLINE!$IR$5:$IR$208, "Not Found")</f>
        <v>-389.64184456073792</v>
      </c>
      <c r="J124" cm="1">
        <f t="array" aca="1" ref="J124" ca="1">_xlfn.XLOOKUP(TEXT(A124, "mmm-yy"), TEXT([2]GASOLINE!$B$5:$B$208, "mmm-yy"), [2]GASOLINE!$IK$5:$IK$208, "Not Found")</f>
        <v>330.07164012305395</v>
      </c>
      <c r="K124">
        <f t="shared" ca="1" si="2"/>
        <v>0</v>
      </c>
      <c r="L124" cm="1">
        <f t="array" aca="1" ref="L124" ca="1">_xlfn.XLOOKUP(TEXT(A124, "mmm-yy"), TEXT([2]GASOLINE!$B$5:$B$208, "mmm-yy"), [2]GASOLINE!$C$5:$C$208, "Not Found")</f>
        <v>7899.8359771845016</v>
      </c>
      <c r="M124" cm="1">
        <f t="array" aca="1" ref="M124" ca="1">_xlfn.XLOOKUP(TEXT(A124, "mmm-yy"), TEXT([2]RUNS!$B$5:$B$208, "mmm-yy"), [2]RUNS!$BM$5:$BM$208, "Not Found")</f>
        <v>0.81942176754257201</v>
      </c>
    </row>
    <row r="125" spans="1:13" x14ac:dyDescent="0.25">
      <c r="A125" s="1">
        <f t="shared" ca="1" si="3"/>
        <v>45972</v>
      </c>
      <c r="B125" cm="1">
        <f t="array" aca="1" ref="B125" ca="1">_xlfn.XLOOKUP(TEXT(A125, "mmm-yy"), TEXT([1]Monthly!$C:$C, "mmm-yy"), [1]Monthly!$O:$O, "Not Found")</f>
        <v>67.889848931742961</v>
      </c>
      <c r="C125" cm="1">
        <f t="array" aca="1" ref="C125" ca="1">_xlfn.XLOOKUP(TEXT(A125, "mmm-yy"), TEXT([1]Monthly!$C:$C, "mmm-yy"), [1]Monthly!$P:$P, "Not Found")</f>
        <v>66.695470012001167</v>
      </c>
      <c r="D125" cm="1">
        <f t="array" aca="1" ref="D125" ca="1">_xlfn.XLOOKUP(TEXT(A125, "mmm-yy"), TEXT([1]Monthly!$C:$C, "mmm-yy"), [1]Monthly!$R:$R, "Not Found")</f>
        <v>62.659595177805144</v>
      </c>
      <c r="E125" cm="1">
        <f t="array" aca="1" ref="E125" ca="1">_xlfn.XLOOKUP(TEXT(A125, "mmm-yy"), TEXT([1]Monthly!$C:$C, "mmm-yy"), [1]Monthly!$S:$S, "Not Found")</f>
        <v>75.049848931742957</v>
      </c>
      <c r="F125" cm="1">
        <f t="array" aca="1" ref="F125" ca="1">_xlfn.XLOOKUP(TEXT(A125, "mmm-yy"), TEXT([2]RUNS!$B$5:$B$208, "mmm-yy"), [2]RUNS!$D$5:$D$208, "Not Found")</f>
        <v>30694.801932553964</v>
      </c>
      <c r="G125">
        <f>AVERAGE([3]Sheet1!$H2347,[3]Sheet1!$H2609)</f>
        <v>14001.625</v>
      </c>
      <c r="H125">
        <f>AVERAGE([3]Sheet1!$I2347,[3]Sheet1!$I2609)</f>
        <v>0.34999999999999432</v>
      </c>
      <c r="I125" cm="1">
        <f t="array" aca="1" ref="I125" ca="1">_xlfn.XLOOKUP(TEXT(A125, "mmm-yy"), TEXT([2]GASOLINE!$B$5:$B$208, "mmm-yy"), [2]GASOLINE!$IR$5:$IR$208, "Not Found")</f>
        <v>-389.64184456073792</v>
      </c>
      <c r="J125" cm="1">
        <f t="array" aca="1" ref="J125" ca="1">_xlfn.XLOOKUP(TEXT(A125, "mmm-yy"), TEXT([2]GASOLINE!$B$5:$B$208, "mmm-yy"), [2]GASOLINE!$IK$5:$IK$208, "Not Found")</f>
        <v>330.07164012305395</v>
      </c>
      <c r="K125">
        <f t="shared" ca="1" si="2"/>
        <v>0</v>
      </c>
      <c r="L125" cm="1">
        <f t="array" aca="1" ref="L125" ca="1">_xlfn.XLOOKUP(TEXT(A125, "mmm-yy"), TEXT([2]GASOLINE!$B$5:$B$208, "mmm-yy"), [2]GASOLINE!$C$5:$C$208, "Not Found")</f>
        <v>7899.8359771845016</v>
      </c>
      <c r="M125" cm="1">
        <f t="array" aca="1" ref="M125" ca="1">_xlfn.XLOOKUP(TEXT(A125, "mmm-yy"), TEXT([2]RUNS!$B$5:$B$208, "mmm-yy"), [2]RUNS!$BM$5:$BM$208, "Not Found")</f>
        <v>0.81942176754257201</v>
      </c>
    </row>
    <row r="126" spans="1:13" x14ac:dyDescent="0.25">
      <c r="A126" s="1">
        <f t="shared" ca="1" si="3"/>
        <v>45973</v>
      </c>
      <c r="B126" cm="1">
        <f t="array" aca="1" ref="B126" ca="1">_xlfn.XLOOKUP(TEXT(A126, "mmm-yy"), TEXT([1]Monthly!$C:$C, "mmm-yy"), [1]Monthly!$O:$O, "Not Found")</f>
        <v>67.889848931742961</v>
      </c>
      <c r="C126" cm="1">
        <f t="array" aca="1" ref="C126" ca="1">_xlfn.XLOOKUP(TEXT(A126, "mmm-yy"), TEXT([1]Monthly!$C:$C, "mmm-yy"), [1]Monthly!$P:$P, "Not Found")</f>
        <v>66.695470012001167</v>
      </c>
      <c r="D126" cm="1">
        <f t="array" aca="1" ref="D126" ca="1">_xlfn.XLOOKUP(TEXT(A126, "mmm-yy"), TEXT([1]Monthly!$C:$C, "mmm-yy"), [1]Monthly!$R:$R, "Not Found")</f>
        <v>62.659595177805144</v>
      </c>
      <c r="E126" cm="1">
        <f t="array" aca="1" ref="E126" ca="1">_xlfn.XLOOKUP(TEXT(A126, "mmm-yy"), TEXT([1]Monthly!$C:$C, "mmm-yy"), [1]Monthly!$S:$S, "Not Found")</f>
        <v>75.049848931742957</v>
      </c>
      <c r="F126" cm="1">
        <f t="array" aca="1" ref="F126" ca="1">_xlfn.XLOOKUP(TEXT(A126, "mmm-yy"), TEXT([2]RUNS!$B$5:$B$208, "mmm-yy"), [2]RUNS!$D$5:$D$208, "Not Found")</f>
        <v>30694.801932553964</v>
      </c>
      <c r="G126">
        <f>AVERAGE([3]Sheet1!$H2348,[3]Sheet1!$H2610)</f>
        <v>14001.625</v>
      </c>
      <c r="H126">
        <f>AVERAGE([3]Sheet1!$I2348,[3]Sheet1!$I2610)</f>
        <v>0.44000000000000483</v>
      </c>
      <c r="I126" cm="1">
        <f t="array" aca="1" ref="I126" ca="1">_xlfn.XLOOKUP(TEXT(A126, "mmm-yy"), TEXT([2]GASOLINE!$B$5:$B$208, "mmm-yy"), [2]GASOLINE!$IR$5:$IR$208, "Not Found")</f>
        <v>-389.64184456073792</v>
      </c>
      <c r="J126" cm="1">
        <f t="array" aca="1" ref="J126" ca="1">_xlfn.XLOOKUP(TEXT(A126, "mmm-yy"), TEXT([2]GASOLINE!$B$5:$B$208, "mmm-yy"), [2]GASOLINE!$IK$5:$IK$208, "Not Found")</f>
        <v>330.07164012305395</v>
      </c>
      <c r="K126">
        <f t="shared" ca="1" si="2"/>
        <v>0</v>
      </c>
      <c r="L126" cm="1">
        <f t="array" aca="1" ref="L126" ca="1">_xlfn.XLOOKUP(TEXT(A126, "mmm-yy"), TEXT([2]GASOLINE!$B$5:$B$208, "mmm-yy"), [2]GASOLINE!$C$5:$C$208, "Not Found")</f>
        <v>7899.8359771845016</v>
      </c>
      <c r="M126" cm="1">
        <f t="array" aca="1" ref="M126" ca="1">_xlfn.XLOOKUP(TEXT(A126, "mmm-yy"), TEXT([2]RUNS!$B$5:$B$208, "mmm-yy"), [2]RUNS!$BM$5:$BM$208, "Not Found")</f>
        <v>0.81942176754257201</v>
      </c>
    </row>
    <row r="127" spans="1:13" x14ac:dyDescent="0.25">
      <c r="A127" s="1">
        <f t="shared" ca="1" si="3"/>
        <v>45974</v>
      </c>
      <c r="B127" cm="1">
        <f t="array" aca="1" ref="B127" ca="1">_xlfn.XLOOKUP(TEXT(A127, "mmm-yy"), TEXT([1]Monthly!$C:$C, "mmm-yy"), [1]Monthly!$O:$O, "Not Found")</f>
        <v>67.889848931742961</v>
      </c>
      <c r="C127" cm="1">
        <f t="array" aca="1" ref="C127" ca="1">_xlfn.XLOOKUP(TEXT(A127, "mmm-yy"), TEXT([1]Monthly!$C:$C, "mmm-yy"), [1]Monthly!$P:$P, "Not Found")</f>
        <v>66.695470012001167</v>
      </c>
      <c r="D127" cm="1">
        <f t="array" aca="1" ref="D127" ca="1">_xlfn.XLOOKUP(TEXT(A127, "mmm-yy"), TEXT([1]Monthly!$C:$C, "mmm-yy"), [1]Monthly!$R:$R, "Not Found")</f>
        <v>62.659595177805144</v>
      </c>
      <c r="E127" cm="1">
        <f t="array" aca="1" ref="E127" ca="1">_xlfn.XLOOKUP(TEXT(A127, "mmm-yy"), TEXT([1]Monthly!$C:$C, "mmm-yy"), [1]Monthly!$S:$S, "Not Found")</f>
        <v>75.049848931742957</v>
      </c>
      <c r="F127" cm="1">
        <f t="array" aca="1" ref="F127" ca="1">_xlfn.XLOOKUP(TEXT(A127, "mmm-yy"), TEXT([2]RUNS!$B$5:$B$208, "mmm-yy"), [2]RUNS!$D$5:$D$208, "Not Found")</f>
        <v>30694.801932553964</v>
      </c>
      <c r="G127">
        <f>AVERAGE([3]Sheet1!$H2349,[3]Sheet1!$H2611)</f>
        <v>14154.325000000001</v>
      </c>
      <c r="H127">
        <f>AVERAGE([3]Sheet1!$I2349,[3]Sheet1!$I2611)</f>
        <v>0.42999999999999972</v>
      </c>
      <c r="I127" cm="1">
        <f t="array" aca="1" ref="I127" ca="1">_xlfn.XLOOKUP(TEXT(A127, "mmm-yy"), TEXT([2]GASOLINE!$B$5:$B$208, "mmm-yy"), [2]GASOLINE!$IR$5:$IR$208, "Not Found")</f>
        <v>-389.64184456073792</v>
      </c>
      <c r="J127" cm="1">
        <f t="array" aca="1" ref="J127" ca="1">_xlfn.XLOOKUP(TEXT(A127, "mmm-yy"), TEXT([2]GASOLINE!$B$5:$B$208, "mmm-yy"), [2]GASOLINE!$IK$5:$IK$208, "Not Found")</f>
        <v>330.07164012305395</v>
      </c>
      <c r="K127">
        <f t="shared" ca="1" si="2"/>
        <v>0</v>
      </c>
      <c r="L127" cm="1">
        <f t="array" aca="1" ref="L127" ca="1">_xlfn.XLOOKUP(TEXT(A127, "mmm-yy"), TEXT([2]GASOLINE!$B$5:$B$208, "mmm-yy"), [2]GASOLINE!$C$5:$C$208, "Not Found")</f>
        <v>7899.8359771845016</v>
      </c>
      <c r="M127" cm="1">
        <f t="array" aca="1" ref="M127" ca="1">_xlfn.XLOOKUP(TEXT(A127, "mmm-yy"), TEXT([2]RUNS!$B$5:$B$208, "mmm-yy"), [2]RUNS!$BM$5:$BM$208, "Not Found")</f>
        <v>0.81942176754257201</v>
      </c>
    </row>
    <row r="128" spans="1:13" x14ac:dyDescent="0.25">
      <c r="A128" s="1">
        <f t="shared" ca="1" si="3"/>
        <v>45975</v>
      </c>
      <c r="B128" cm="1">
        <f t="array" aca="1" ref="B128" ca="1">_xlfn.XLOOKUP(TEXT(A128, "mmm-yy"), TEXT([1]Monthly!$C:$C, "mmm-yy"), [1]Monthly!$O:$O, "Not Found")</f>
        <v>67.889848931742961</v>
      </c>
      <c r="C128" cm="1">
        <f t="array" aca="1" ref="C128" ca="1">_xlfn.XLOOKUP(TEXT(A128, "mmm-yy"), TEXT([1]Monthly!$C:$C, "mmm-yy"), [1]Monthly!$P:$P, "Not Found")</f>
        <v>66.695470012001167</v>
      </c>
      <c r="D128" cm="1">
        <f t="array" aca="1" ref="D128" ca="1">_xlfn.XLOOKUP(TEXT(A128, "mmm-yy"), TEXT([1]Monthly!$C:$C, "mmm-yy"), [1]Monthly!$R:$R, "Not Found")</f>
        <v>62.659595177805144</v>
      </c>
      <c r="E128" cm="1">
        <f t="array" aca="1" ref="E128" ca="1">_xlfn.XLOOKUP(TEXT(A128, "mmm-yy"), TEXT([1]Monthly!$C:$C, "mmm-yy"), [1]Monthly!$S:$S, "Not Found")</f>
        <v>75.049848931742957</v>
      </c>
      <c r="F128" cm="1">
        <f t="array" aca="1" ref="F128" ca="1">_xlfn.XLOOKUP(TEXT(A128, "mmm-yy"), TEXT([2]RUNS!$B$5:$B$208, "mmm-yy"), [2]RUNS!$D$5:$D$208, "Not Found")</f>
        <v>30694.801932553964</v>
      </c>
      <c r="G128">
        <f>AVERAGE([3]Sheet1!$H2350,[3]Sheet1!$H2612)</f>
        <v>14154.325000000001</v>
      </c>
      <c r="H128">
        <f>AVERAGE([3]Sheet1!$I2350,[3]Sheet1!$I2612)</f>
        <v>0.42999999999999972</v>
      </c>
      <c r="I128" cm="1">
        <f t="array" aca="1" ref="I128" ca="1">_xlfn.XLOOKUP(TEXT(A128, "mmm-yy"), TEXT([2]GASOLINE!$B$5:$B$208, "mmm-yy"), [2]GASOLINE!$IR$5:$IR$208, "Not Found")</f>
        <v>-389.64184456073792</v>
      </c>
      <c r="J128" cm="1">
        <f t="array" aca="1" ref="J128" ca="1">_xlfn.XLOOKUP(TEXT(A128, "mmm-yy"), TEXT([2]GASOLINE!$B$5:$B$208, "mmm-yy"), [2]GASOLINE!$IK$5:$IK$208, "Not Found")</f>
        <v>330.07164012305395</v>
      </c>
      <c r="K128">
        <f t="shared" ca="1" si="2"/>
        <v>0</v>
      </c>
      <c r="L128" cm="1">
        <f t="array" aca="1" ref="L128" ca="1">_xlfn.XLOOKUP(TEXT(A128, "mmm-yy"), TEXT([2]GASOLINE!$B$5:$B$208, "mmm-yy"), [2]GASOLINE!$C$5:$C$208, "Not Found")</f>
        <v>7899.8359771845016</v>
      </c>
      <c r="M128" cm="1">
        <f t="array" aca="1" ref="M128" ca="1">_xlfn.XLOOKUP(TEXT(A128, "mmm-yy"), TEXT([2]RUNS!$B$5:$B$208, "mmm-yy"), [2]RUNS!$BM$5:$BM$208, "Not Found")</f>
        <v>0.81942176754257201</v>
      </c>
    </row>
    <row r="129" spans="1:13" x14ac:dyDescent="0.25">
      <c r="A129" s="1">
        <f t="shared" ca="1" si="3"/>
        <v>45976</v>
      </c>
      <c r="B129" cm="1">
        <f t="array" aca="1" ref="B129" ca="1">_xlfn.XLOOKUP(TEXT(A129, "mmm-yy"), TEXT([1]Monthly!$C:$C, "mmm-yy"), [1]Monthly!$O:$O, "Not Found")</f>
        <v>67.889848931742961</v>
      </c>
      <c r="C129" cm="1">
        <f t="array" aca="1" ref="C129" ca="1">_xlfn.XLOOKUP(TEXT(A129, "mmm-yy"), TEXT([1]Monthly!$C:$C, "mmm-yy"), [1]Monthly!$P:$P, "Not Found")</f>
        <v>66.695470012001167</v>
      </c>
      <c r="D129" cm="1">
        <f t="array" aca="1" ref="D129" ca="1">_xlfn.XLOOKUP(TEXT(A129, "mmm-yy"), TEXT([1]Monthly!$C:$C, "mmm-yy"), [1]Monthly!$R:$R, "Not Found")</f>
        <v>62.659595177805144</v>
      </c>
      <c r="E129" cm="1">
        <f t="array" aca="1" ref="E129" ca="1">_xlfn.XLOOKUP(TEXT(A129, "mmm-yy"), TEXT([1]Monthly!$C:$C, "mmm-yy"), [1]Monthly!$S:$S, "Not Found")</f>
        <v>75.049848931742957</v>
      </c>
      <c r="F129" cm="1">
        <f t="array" aca="1" ref="F129" ca="1">_xlfn.XLOOKUP(TEXT(A129, "mmm-yy"), TEXT([2]RUNS!$B$5:$B$208, "mmm-yy"), [2]RUNS!$D$5:$D$208, "Not Found")</f>
        <v>30694.801932553964</v>
      </c>
      <c r="G129">
        <f>AVERAGE([3]Sheet1!$H2351,[3]Sheet1!$H2613)</f>
        <v>14154.325000000001</v>
      </c>
      <c r="H129">
        <f>AVERAGE([3]Sheet1!$I2351,[3]Sheet1!$I2613)</f>
        <v>0.36499999999999488</v>
      </c>
      <c r="I129" cm="1">
        <f t="array" aca="1" ref="I129" ca="1">_xlfn.XLOOKUP(TEXT(A129, "mmm-yy"), TEXT([2]GASOLINE!$B$5:$B$208, "mmm-yy"), [2]GASOLINE!$IR$5:$IR$208, "Not Found")</f>
        <v>-389.64184456073792</v>
      </c>
      <c r="J129" cm="1">
        <f t="array" aca="1" ref="J129" ca="1">_xlfn.XLOOKUP(TEXT(A129, "mmm-yy"), TEXT([2]GASOLINE!$B$5:$B$208, "mmm-yy"), [2]GASOLINE!$IK$5:$IK$208, "Not Found")</f>
        <v>330.07164012305395</v>
      </c>
      <c r="K129">
        <f t="shared" ca="1" si="2"/>
        <v>0</v>
      </c>
      <c r="L129" cm="1">
        <f t="array" aca="1" ref="L129" ca="1">_xlfn.XLOOKUP(TEXT(A129, "mmm-yy"), TEXT([2]GASOLINE!$B$5:$B$208, "mmm-yy"), [2]GASOLINE!$C$5:$C$208, "Not Found")</f>
        <v>7899.8359771845016</v>
      </c>
      <c r="M129" cm="1">
        <f t="array" aca="1" ref="M129" ca="1">_xlfn.XLOOKUP(TEXT(A129, "mmm-yy"), TEXT([2]RUNS!$B$5:$B$208, "mmm-yy"), [2]RUNS!$BM$5:$BM$208, "Not Found")</f>
        <v>0.81942176754257201</v>
      </c>
    </row>
    <row r="130" spans="1:13" x14ac:dyDescent="0.25">
      <c r="A130" s="1">
        <f t="shared" ca="1" si="3"/>
        <v>45977</v>
      </c>
      <c r="B130" cm="1">
        <f t="array" aca="1" ref="B130" ca="1">_xlfn.XLOOKUP(TEXT(A130, "mmm-yy"), TEXT([1]Monthly!$C:$C, "mmm-yy"), [1]Monthly!$O:$O, "Not Found")</f>
        <v>67.889848931742961</v>
      </c>
      <c r="C130" cm="1">
        <f t="array" aca="1" ref="C130" ca="1">_xlfn.XLOOKUP(TEXT(A130, "mmm-yy"), TEXT([1]Monthly!$C:$C, "mmm-yy"), [1]Monthly!$P:$P, "Not Found")</f>
        <v>66.695470012001167</v>
      </c>
      <c r="D130" cm="1">
        <f t="array" aca="1" ref="D130" ca="1">_xlfn.XLOOKUP(TEXT(A130, "mmm-yy"), TEXT([1]Monthly!$C:$C, "mmm-yy"), [1]Monthly!$R:$R, "Not Found")</f>
        <v>62.659595177805144</v>
      </c>
      <c r="E130" cm="1">
        <f t="array" aca="1" ref="E130" ca="1">_xlfn.XLOOKUP(TEXT(A130, "mmm-yy"), TEXT([1]Monthly!$C:$C, "mmm-yy"), [1]Monthly!$S:$S, "Not Found")</f>
        <v>75.049848931742957</v>
      </c>
      <c r="F130" cm="1">
        <f t="array" aca="1" ref="F130" ca="1">_xlfn.XLOOKUP(TEXT(A130, "mmm-yy"), TEXT([2]RUNS!$B$5:$B$208, "mmm-yy"), [2]RUNS!$D$5:$D$208, "Not Found")</f>
        <v>30694.801932553964</v>
      </c>
      <c r="G130">
        <f>AVERAGE([3]Sheet1!$H2352,[3]Sheet1!$H2614)</f>
        <v>14154.325000000001</v>
      </c>
      <c r="H130">
        <f>AVERAGE([3]Sheet1!$I2352,[3]Sheet1!$I2614)</f>
        <v>0.375</v>
      </c>
      <c r="I130" cm="1">
        <f t="array" aca="1" ref="I130" ca="1">_xlfn.XLOOKUP(TEXT(A130, "mmm-yy"), TEXT([2]GASOLINE!$B$5:$B$208, "mmm-yy"), [2]GASOLINE!$IR$5:$IR$208, "Not Found")</f>
        <v>-389.64184456073792</v>
      </c>
      <c r="J130" cm="1">
        <f t="array" aca="1" ref="J130" ca="1">_xlfn.XLOOKUP(TEXT(A130, "mmm-yy"), TEXT([2]GASOLINE!$B$5:$B$208, "mmm-yy"), [2]GASOLINE!$IK$5:$IK$208, "Not Found")</f>
        <v>330.07164012305395</v>
      </c>
      <c r="K130">
        <f t="shared" ca="1" si="2"/>
        <v>0</v>
      </c>
      <c r="L130" cm="1">
        <f t="array" aca="1" ref="L130" ca="1">_xlfn.XLOOKUP(TEXT(A130, "mmm-yy"), TEXT([2]GASOLINE!$B$5:$B$208, "mmm-yy"), [2]GASOLINE!$C$5:$C$208, "Not Found")</f>
        <v>7899.8359771845016</v>
      </c>
      <c r="M130" cm="1">
        <f t="array" aca="1" ref="M130" ca="1">_xlfn.XLOOKUP(TEXT(A130, "mmm-yy"), TEXT([2]RUNS!$B$5:$B$208, "mmm-yy"), [2]RUNS!$BM$5:$BM$208, "Not Found")</f>
        <v>0.81942176754257201</v>
      </c>
    </row>
    <row r="131" spans="1:13" x14ac:dyDescent="0.25">
      <c r="A131" s="1">
        <f t="shared" ca="1" si="3"/>
        <v>45978</v>
      </c>
      <c r="B131" cm="1">
        <f t="array" aca="1" ref="B131" ca="1">_xlfn.XLOOKUP(TEXT(A131, "mmm-yy"), TEXT([1]Monthly!$C:$C, "mmm-yy"), [1]Monthly!$O:$O, "Not Found")</f>
        <v>67.889848931742961</v>
      </c>
      <c r="C131" cm="1">
        <f t="array" aca="1" ref="C131" ca="1">_xlfn.XLOOKUP(TEXT(A131, "mmm-yy"), TEXT([1]Monthly!$C:$C, "mmm-yy"), [1]Monthly!$P:$P, "Not Found")</f>
        <v>66.695470012001167</v>
      </c>
      <c r="D131" cm="1">
        <f t="array" aca="1" ref="D131" ca="1">_xlfn.XLOOKUP(TEXT(A131, "mmm-yy"), TEXT([1]Monthly!$C:$C, "mmm-yy"), [1]Monthly!$R:$R, "Not Found")</f>
        <v>62.659595177805144</v>
      </c>
      <c r="E131" cm="1">
        <f t="array" aca="1" ref="E131" ca="1">_xlfn.XLOOKUP(TEXT(A131, "mmm-yy"), TEXT([1]Monthly!$C:$C, "mmm-yy"), [1]Monthly!$S:$S, "Not Found")</f>
        <v>75.049848931742957</v>
      </c>
      <c r="F131" cm="1">
        <f t="array" aca="1" ref="F131" ca="1">_xlfn.XLOOKUP(TEXT(A131, "mmm-yy"), TEXT([2]RUNS!$B$5:$B$208, "mmm-yy"), [2]RUNS!$D$5:$D$208, "Not Found")</f>
        <v>30694.801932553964</v>
      </c>
      <c r="G131">
        <f>AVERAGE([3]Sheet1!$H2353,[3]Sheet1!$H2615)</f>
        <v>14154.325000000001</v>
      </c>
      <c r="H131">
        <f>AVERAGE([3]Sheet1!$I2353,[3]Sheet1!$I2615)</f>
        <v>0.29999999999999716</v>
      </c>
      <c r="I131" cm="1">
        <f t="array" aca="1" ref="I131" ca="1">_xlfn.XLOOKUP(TEXT(A131, "mmm-yy"), TEXT([2]GASOLINE!$B$5:$B$208, "mmm-yy"), [2]GASOLINE!$IR$5:$IR$208, "Not Found")</f>
        <v>-389.64184456073792</v>
      </c>
      <c r="J131" cm="1">
        <f t="array" aca="1" ref="J131" ca="1">_xlfn.XLOOKUP(TEXT(A131, "mmm-yy"), TEXT([2]GASOLINE!$B$5:$B$208, "mmm-yy"), [2]GASOLINE!$IK$5:$IK$208, "Not Found")</f>
        <v>330.07164012305395</v>
      </c>
      <c r="K131">
        <f t="shared" ref="K131:K177" ca="1" si="4">IF(OR(MONTH(A131)=6, MONTH(A131)=7, MONTH(A131)=8, MONTH(A131)=9), 1, 0)</f>
        <v>0</v>
      </c>
      <c r="L131" cm="1">
        <f t="array" aca="1" ref="L131" ca="1">_xlfn.XLOOKUP(TEXT(A131, "mmm-yy"), TEXT([2]GASOLINE!$B$5:$B$208, "mmm-yy"), [2]GASOLINE!$C$5:$C$208, "Not Found")</f>
        <v>7899.8359771845016</v>
      </c>
      <c r="M131" cm="1">
        <f t="array" aca="1" ref="M131" ca="1">_xlfn.XLOOKUP(TEXT(A131, "mmm-yy"), TEXT([2]RUNS!$B$5:$B$208, "mmm-yy"), [2]RUNS!$BM$5:$BM$208, "Not Found")</f>
        <v>0.81942176754257201</v>
      </c>
    </row>
    <row r="132" spans="1:13" x14ac:dyDescent="0.25">
      <c r="A132" s="1">
        <f t="shared" ca="1" si="3"/>
        <v>45979</v>
      </c>
      <c r="B132" cm="1">
        <f t="array" aca="1" ref="B132" ca="1">_xlfn.XLOOKUP(TEXT(A132, "mmm-yy"), TEXT([1]Monthly!$C:$C, "mmm-yy"), [1]Monthly!$O:$O, "Not Found")</f>
        <v>67.889848931742961</v>
      </c>
      <c r="C132" cm="1">
        <f t="array" aca="1" ref="C132" ca="1">_xlfn.XLOOKUP(TEXT(A132, "mmm-yy"), TEXT([1]Monthly!$C:$C, "mmm-yy"), [1]Monthly!$P:$P, "Not Found")</f>
        <v>66.695470012001167</v>
      </c>
      <c r="D132" cm="1">
        <f t="array" aca="1" ref="D132" ca="1">_xlfn.XLOOKUP(TEXT(A132, "mmm-yy"), TEXT([1]Monthly!$C:$C, "mmm-yy"), [1]Monthly!$R:$R, "Not Found")</f>
        <v>62.659595177805144</v>
      </c>
      <c r="E132" cm="1">
        <f t="array" aca="1" ref="E132" ca="1">_xlfn.XLOOKUP(TEXT(A132, "mmm-yy"), TEXT([1]Monthly!$C:$C, "mmm-yy"), [1]Monthly!$S:$S, "Not Found")</f>
        <v>75.049848931742957</v>
      </c>
      <c r="F132" cm="1">
        <f t="array" aca="1" ref="F132" ca="1">_xlfn.XLOOKUP(TEXT(A132, "mmm-yy"), TEXT([2]RUNS!$B$5:$B$208, "mmm-yy"), [2]RUNS!$D$5:$D$208, "Not Found")</f>
        <v>30694.801932553964</v>
      </c>
      <c r="G132">
        <f>AVERAGE([3]Sheet1!$H2354,[3]Sheet1!$H2616)</f>
        <v>14154.325000000001</v>
      </c>
      <c r="H132">
        <f>AVERAGE([3]Sheet1!$I2354,[3]Sheet1!$I2616)</f>
        <v>0.22999999999999687</v>
      </c>
      <c r="I132" cm="1">
        <f t="array" aca="1" ref="I132" ca="1">_xlfn.XLOOKUP(TEXT(A132, "mmm-yy"), TEXT([2]GASOLINE!$B$5:$B$208, "mmm-yy"), [2]GASOLINE!$IR$5:$IR$208, "Not Found")</f>
        <v>-389.64184456073792</v>
      </c>
      <c r="J132" cm="1">
        <f t="array" aca="1" ref="J132" ca="1">_xlfn.XLOOKUP(TEXT(A132, "mmm-yy"), TEXT([2]GASOLINE!$B$5:$B$208, "mmm-yy"), [2]GASOLINE!$IK$5:$IK$208, "Not Found")</f>
        <v>330.07164012305395</v>
      </c>
      <c r="K132">
        <f t="shared" ca="1" si="4"/>
        <v>0</v>
      </c>
      <c r="L132" cm="1">
        <f t="array" aca="1" ref="L132" ca="1">_xlfn.XLOOKUP(TEXT(A132, "mmm-yy"), TEXT([2]GASOLINE!$B$5:$B$208, "mmm-yy"), [2]GASOLINE!$C$5:$C$208, "Not Found")</f>
        <v>7899.8359771845016</v>
      </c>
      <c r="M132" cm="1">
        <f t="array" aca="1" ref="M132" ca="1">_xlfn.XLOOKUP(TEXT(A132, "mmm-yy"), TEXT([2]RUNS!$B$5:$B$208, "mmm-yy"), [2]RUNS!$BM$5:$BM$208, "Not Found")</f>
        <v>0.81942176754257201</v>
      </c>
    </row>
    <row r="133" spans="1:13" x14ac:dyDescent="0.25">
      <c r="A133" s="1">
        <f t="shared" ref="A133:A177" ca="1" si="5">A132+1</f>
        <v>45980</v>
      </c>
      <c r="B133" cm="1">
        <f t="array" aca="1" ref="B133" ca="1">_xlfn.XLOOKUP(TEXT(A133, "mmm-yy"), TEXT([1]Monthly!$C:$C, "mmm-yy"), [1]Monthly!$O:$O, "Not Found")</f>
        <v>67.889848931742961</v>
      </c>
      <c r="C133" cm="1">
        <f t="array" aca="1" ref="C133" ca="1">_xlfn.XLOOKUP(TEXT(A133, "mmm-yy"), TEXT([1]Monthly!$C:$C, "mmm-yy"), [1]Monthly!$P:$P, "Not Found")</f>
        <v>66.695470012001167</v>
      </c>
      <c r="D133" cm="1">
        <f t="array" aca="1" ref="D133" ca="1">_xlfn.XLOOKUP(TEXT(A133, "mmm-yy"), TEXT([1]Monthly!$C:$C, "mmm-yy"), [1]Monthly!$R:$R, "Not Found")</f>
        <v>62.659595177805144</v>
      </c>
      <c r="E133" cm="1">
        <f t="array" aca="1" ref="E133" ca="1">_xlfn.XLOOKUP(TEXT(A133, "mmm-yy"), TEXT([1]Monthly!$C:$C, "mmm-yy"), [1]Monthly!$S:$S, "Not Found")</f>
        <v>75.049848931742957</v>
      </c>
      <c r="F133" cm="1">
        <f t="array" aca="1" ref="F133" ca="1">_xlfn.XLOOKUP(TEXT(A133, "mmm-yy"), TEXT([2]RUNS!$B$5:$B$208, "mmm-yy"), [2]RUNS!$D$5:$D$208, "Not Found")</f>
        <v>30694.801932553964</v>
      </c>
      <c r="G133">
        <f>AVERAGE([3]Sheet1!$H2355,[3]Sheet1!$H2617)</f>
        <v>14154.325000000001</v>
      </c>
      <c r="H133">
        <f>AVERAGE([3]Sheet1!$I2355,[3]Sheet1!$I2617)</f>
        <v>0.20000000000000284</v>
      </c>
      <c r="I133" cm="1">
        <f t="array" aca="1" ref="I133" ca="1">_xlfn.XLOOKUP(TEXT(A133, "mmm-yy"), TEXT([2]GASOLINE!$B$5:$B$208, "mmm-yy"), [2]GASOLINE!$IR$5:$IR$208, "Not Found")</f>
        <v>-389.64184456073792</v>
      </c>
      <c r="J133" cm="1">
        <f t="array" aca="1" ref="J133" ca="1">_xlfn.XLOOKUP(TEXT(A133, "mmm-yy"), TEXT([2]GASOLINE!$B$5:$B$208, "mmm-yy"), [2]GASOLINE!$IK$5:$IK$208, "Not Found")</f>
        <v>330.07164012305395</v>
      </c>
      <c r="K133">
        <f t="shared" ca="1" si="4"/>
        <v>0</v>
      </c>
      <c r="L133" cm="1">
        <f t="array" aca="1" ref="L133" ca="1">_xlfn.XLOOKUP(TEXT(A133, "mmm-yy"), TEXT([2]GASOLINE!$B$5:$B$208, "mmm-yy"), [2]GASOLINE!$C$5:$C$208, "Not Found")</f>
        <v>7899.8359771845016</v>
      </c>
      <c r="M133" cm="1">
        <f t="array" aca="1" ref="M133" ca="1">_xlfn.XLOOKUP(TEXT(A133, "mmm-yy"), TEXT([2]RUNS!$B$5:$B$208, "mmm-yy"), [2]RUNS!$BM$5:$BM$208, "Not Found")</f>
        <v>0.81942176754257201</v>
      </c>
    </row>
    <row r="134" spans="1:13" x14ac:dyDescent="0.25">
      <c r="A134" s="1">
        <f t="shared" ca="1" si="5"/>
        <v>45981</v>
      </c>
      <c r="B134" cm="1">
        <f t="array" aca="1" ref="B134" ca="1">_xlfn.XLOOKUP(TEXT(A134, "mmm-yy"), TEXT([1]Monthly!$C:$C, "mmm-yy"), [1]Monthly!$O:$O, "Not Found")</f>
        <v>67.889848931742961</v>
      </c>
      <c r="C134" cm="1">
        <f t="array" aca="1" ref="C134" ca="1">_xlfn.XLOOKUP(TEXT(A134, "mmm-yy"), TEXT([1]Monthly!$C:$C, "mmm-yy"), [1]Monthly!$P:$P, "Not Found")</f>
        <v>66.695470012001167</v>
      </c>
      <c r="D134" cm="1">
        <f t="array" aca="1" ref="D134" ca="1">_xlfn.XLOOKUP(TEXT(A134, "mmm-yy"), TEXT([1]Monthly!$C:$C, "mmm-yy"), [1]Monthly!$R:$R, "Not Found")</f>
        <v>62.659595177805144</v>
      </c>
      <c r="E134" cm="1">
        <f t="array" aca="1" ref="E134" ca="1">_xlfn.XLOOKUP(TEXT(A134, "mmm-yy"), TEXT([1]Monthly!$C:$C, "mmm-yy"), [1]Monthly!$S:$S, "Not Found")</f>
        <v>75.049848931742957</v>
      </c>
      <c r="F134" cm="1">
        <f t="array" aca="1" ref="F134" ca="1">_xlfn.XLOOKUP(TEXT(A134, "mmm-yy"), TEXT([2]RUNS!$B$5:$B$208, "mmm-yy"), [2]RUNS!$D$5:$D$208, "Not Found")</f>
        <v>30694.801932553964</v>
      </c>
      <c r="G134">
        <f>AVERAGE([3]Sheet1!$H2356,[3]Sheet1!$H2618)</f>
        <v>14154.325000000001</v>
      </c>
      <c r="H134">
        <f>AVERAGE([3]Sheet1!$I2356,[3]Sheet1!$I2618)</f>
        <v>0.29999999999999716</v>
      </c>
      <c r="I134" cm="1">
        <f t="array" aca="1" ref="I134" ca="1">_xlfn.XLOOKUP(TEXT(A134, "mmm-yy"), TEXT([2]GASOLINE!$B$5:$B$208, "mmm-yy"), [2]GASOLINE!$IR$5:$IR$208, "Not Found")</f>
        <v>-389.64184456073792</v>
      </c>
      <c r="J134" cm="1">
        <f t="array" aca="1" ref="J134" ca="1">_xlfn.XLOOKUP(TEXT(A134, "mmm-yy"), TEXT([2]GASOLINE!$B$5:$B$208, "mmm-yy"), [2]GASOLINE!$IK$5:$IK$208, "Not Found")</f>
        <v>330.07164012305395</v>
      </c>
      <c r="K134">
        <f t="shared" ca="1" si="4"/>
        <v>0</v>
      </c>
      <c r="L134" cm="1">
        <f t="array" aca="1" ref="L134" ca="1">_xlfn.XLOOKUP(TEXT(A134, "mmm-yy"), TEXT([2]GASOLINE!$B$5:$B$208, "mmm-yy"), [2]GASOLINE!$C$5:$C$208, "Not Found")</f>
        <v>7899.8359771845016</v>
      </c>
      <c r="M134" cm="1">
        <f t="array" aca="1" ref="M134" ca="1">_xlfn.XLOOKUP(TEXT(A134, "mmm-yy"), TEXT([2]RUNS!$B$5:$B$208, "mmm-yy"), [2]RUNS!$BM$5:$BM$208, "Not Found")</f>
        <v>0.81942176754257201</v>
      </c>
    </row>
    <row r="135" spans="1:13" x14ac:dyDescent="0.25">
      <c r="A135" s="1">
        <f t="shared" ca="1" si="5"/>
        <v>45982</v>
      </c>
      <c r="B135" cm="1">
        <f t="array" aca="1" ref="B135" ca="1">_xlfn.XLOOKUP(TEXT(A135, "mmm-yy"), TEXT([1]Monthly!$C:$C, "mmm-yy"), [1]Monthly!$O:$O, "Not Found")</f>
        <v>67.889848931742961</v>
      </c>
      <c r="C135" cm="1">
        <f t="array" aca="1" ref="C135" ca="1">_xlfn.XLOOKUP(TEXT(A135, "mmm-yy"), TEXT([1]Monthly!$C:$C, "mmm-yy"), [1]Monthly!$P:$P, "Not Found")</f>
        <v>66.695470012001167</v>
      </c>
      <c r="D135" cm="1">
        <f t="array" aca="1" ref="D135" ca="1">_xlfn.XLOOKUP(TEXT(A135, "mmm-yy"), TEXT([1]Monthly!$C:$C, "mmm-yy"), [1]Monthly!$R:$R, "Not Found")</f>
        <v>62.659595177805144</v>
      </c>
      <c r="E135" cm="1">
        <f t="array" aca="1" ref="E135" ca="1">_xlfn.XLOOKUP(TEXT(A135, "mmm-yy"), TEXT([1]Monthly!$C:$C, "mmm-yy"), [1]Monthly!$S:$S, "Not Found")</f>
        <v>75.049848931742957</v>
      </c>
      <c r="F135" cm="1">
        <f t="array" aca="1" ref="F135" ca="1">_xlfn.XLOOKUP(TEXT(A135, "mmm-yy"), TEXT([2]RUNS!$B$5:$B$208, "mmm-yy"), [2]RUNS!$D$5:$D$208, "Not Found")</f>
        <v>30694.801932553964</v>
      </c>
      <c r="G135">
        <f>AVERAGE([3]Sheet1!$H2357,[3]Sheet1!$H2619)</f>
        <v>14154.325000000001</v>
      </c>
      <c r="H135">
        <f>AVERAGE([3]Sheet1!$I2357,[3]Sheet1!$I2619)</f>
        <v>0.33500000000000085</v>
      </c>
      <c r="I135" cm="1">
        <f t="array" aca="1" ref="I135" ca="1">_xlfn.XLOOKUP(TEXT(A135, "mmm-yy"), TEXT([2]GASOLINE!$B$5:$B$208, "mmm-yy"), [2]GASOLINE!$IR$5:$IR$208, "Not Found")</f>
        <v>-389.64184456073792</v>
      </c>
      <c r="J135" cm="1">
        <f t="array" aca="1" ref="J135" ca="1">_xlfn.XLOOKUP(TEXT(A135, "mmm-yy"), TEXT([2]GASOLINE!$B$5:$B$208, "mmm-yy"), [2]GASOLINE!$IK$5:$IK$208, "Not Found")</f>
        <v>330.07164012305395</v>
      </c>
      <c r="K135">
        <f t="shared" ca="1" si="4"/>
        <v>0</v>
      </c>
      <c r="L135" cm="1">
        <f t="array" aca="1" ref="L135" ca="1">_xlfn.XLOOKUP(TEXT(A135, "mmm-yy"), TEXT([2]GASOLINE!$B$5:$B$208, "mmm-yy"), [2]GASOLINE!$C$5:$C$208, "Not Found")</f>
        <v>7899.8359771845016</v>
      </c>
      <c r="M135" cm="1">
        <f t="array" aca="1" ref="M135" ca="1">_xlfn.XLOOKUP(TEXT(A135, "mmm-yy"), TEXT([2]RUNS!$B$5:$B$208, "mmm-yy"), [2]RUNS!$BM$5:$BM$208, "Not Found")</f>
        <v>0.81942176754257201</v>
      </c>
    </row>
    <row r="136" spans="1:13" x14ac:dyDescent="0.25">
      <c r="A136" s="1">
        <f t="shared" ca="1" si="5"/>
        <v>45983</v>
      </c>
      <c r="B136" cm="1">
        <f t="array" aca="1" ref="B136" ca="1">_xlfn.XLOOKUP(TEXT(A136, "mmm-yy"), TEXT([1]Monthly!$C:$C, "mmm-yy"), [1]Monthly!$O:$O, "Not Found")</f>
        <v>67.889848931742961</v>
      </c>
      <c r="C136" cm="1">
        <f t="array" aca="1" ref="C136" ca="1">_xlfn.XLOOKUP(TEXT(A136, "mmm-yy"), TEXT([1]Monthly!$C:$C, "mmm-yy"), [1]Monthly!$P:$P, "Not Found")</f>
        <v>66.695470012001167</v>
      </c>
      <c r="D136" cm="1">
        <f t="array" aca="1" ref="D136" ca="1">_xlfn.XLOOKUP(TEXT(A136, "mmm-yy"), TEXT([1]Monthly!$C:$C, "mmm-yy"), [1]Monthly!$R:$R, "Not Found")</f>
        <v>62.659595177805144</v>
      </c>
      <c r="E136" cm="1">
        <f t="array" aca="1" ref="E136" ca="1">_xlfn.XLOOKUP(TEXT(A136, "mmm-yy"), TEXT([1]Monthly!$C:$C, "mmm-yy"), [1]Monthly!$S:$S, "Not Found")</f>
        <v>75.049848931742957</v>
      </c>
      <c r="F136" cm="1">
        <f t="array" aca="1" ref="F136" ca="1">_xlfn.XLOOKUP(TEXT(A136, "mmm-yy"), TEXT([2]RUNS!$B$5:$B$208, "mmm-yy"), [2]RUNS!$D$5:$D$208, "Not Found")</f>
        <v>30694.801932553964</v>
      </c>
      <c r="G136">
        <f>AVERAGE([3]Sheet1!$H2358,[3]Sheet1!$H2620)</f>
        <v>14154.325000000001</v>
      </c>
      <c r="H136">
        <f>AVERAGE([3]Sheet1!$I2358,[3]Sheet1!$I2620)</f>
        <v>0.42499999999999716</v>
      </c>
      <c r="I136" cm="1">
        <f t="array" aca="1" ref="I136" ca="1">_xlfn.XLOOKUP(TEXT(A136, "mmm-yy"), TEXT([2]GASOLINE!$B$5:$B$208, "mmm-yy"), [2]GASOLINE!$IR$5:$IR$208, "Not Found")</f>
        <v>-389.64184456073792</v>
      </c>
      <c r="J136" cm="1">
        <f t="array" aca="1" ref="J136" ca="1">_xlfn.XLOOKUP(TEXT(A136, "mmm-yy"), TEXT([2]GASOLINE!$B$5:$B$208, "mmm-yy"), [2]GASOLINE!$IK$5:$IK$208, "Not Found")</f>
        <v>330.07164012305395</v>
      </c>
      <c r="K136">
        <f t="shared" ca="1" si="4"/>
        <v>0</v>
      </c>
      <c r="L136" cm="1">
        <f t="array" aca="1" ref="L136" ca="1">_xlfn.XLOOKUP(TEXT(A136, "mmm-yy"), TEXT([2]GASOLINE!$B$5:$B$208, "mmm-yy"), [2]GASOLINE!$C$5:$C$208, "Not Found")</f>
        <v>7899.8359771845016</v>
      </c>
      <c r="M136" cm="1">
        <f t="array" aca="1" ref="M136" ca="1">_xlfn.XLOOKUP(TEXT(A136, "mmm-yy"), TEXT([2]RUNS!$B$5:$B$208, "mmm-yy"), [2]RUNS!$BM$5:$BM$208, "Not Found")</f>
        <v>0.81942176754257201</v>
      </c>
    </row>
    <row r="137" spans="1:13" x14ac:dyDescent="0.25">
      <c r="A137" s="1">
        <f t="shared" ca="1" si="5"/>
        <v>45984</v>
      </c>
      <c r="B137" cm="1">
        <f t="array" aca="1" ref="B137" ca="1">_xlfn.XLOOKUP(TEXT(A137, "mmm-yy"), TEXT([1]Monthly!$C:$C, "mmm-yy"), [1]Monthly!$O:$O, "Not Found")</f>
        <v>67.889848931742961</v>
      </c>
      <c r="C137" cm="1">
        <f t="array" aca="1" ref="C137" ca="1">_xlfn.XLOOKUP(TEXT(A137, "mmm-yy"), TEXT([1]Monthly!$C:$C, "mmm-yy"), [1]Monthly!$P:$P, "Not Found")</f>
        <v>66.695470012001167</v>
      </c>
      <c r="D137" cm="1">
        <f t="array" aca="1" ref="D137" ca="1">_xlfn.XLOOKUP(TEXT(A137, "mmm-yy"), TEXT([1]Monthly!$C:$C, "mmm-yy"), [1]Monthly!$R:$R, "Not Found")</f>
        <v>62.659595177805144</v>
      </c>
      <c r="E137" cm="1">
        <f t="array" aca="1" ref="E137" ca="1">_xlfn.XLOOKUP(TEXT(A137, "mmm-yy"), TEXT([1]Monthly!$C:$C, "mmm-yy"), [1]Monthly!$S:$S, "Not Found")</f>
        <v>75.049848931742957</v>
      </c>
      <c r="F137" cm="1">
        <f t="array" aca="1" ref="F137" ca="1">_xlfn.XLOOKUP(TEXT(A137, "mmm-yy"), TEXT([2]RUNS!$B$5:$B$208, "mmm-yy"), [2]RUNS!$D$5:$D$208, "Not Found")</f>
        <v>30694.801932553964</v>
      </c>
      <c r="G137">
        <f>AVERAGE([3]Sheet1!$H2359,[3]Sheet1!$H2621)</f>
        <v>14154.325000000001</v>
      </c>
      <c r="H137">
        <f>AVERAGE([3]Sheet1!$I2359,[3]Sheet1!$I2621)</f>
        <v>0.40500000000000114</v>
      </c>
      <c r="I137" cm="1">
        <f t="array" aca="1" ref="I137" ca="1">_xlfn.XLOOKUP(TEXT(A137, "mmm-yy"), TEXT([2]GASOLINE!$B$5:$B$208, "mmm-yy"), [2]GASOLINE!$IR$5:$IR$208, "Not Found")</f>
        <v>-389.64184456073792</v>
      </c>
      <c r="J137" cm="1">
        <f t="array" aca="1" ref="J137" ca="1">_xlfn.XLOOKUP(TEXT(A137, "mmm-yy"), TEXT([2]GASOLINE!$B$5:$B$208, "mmm-yy"), [2]GASOLINE!$IK$5:$IK$208, "Not Found")</f>
        <v>330.07164012305395</v>
      </c>
      <c r="K137">
        <f t="shared" ca="1" si="4"/>
        <v>0</v>
      </c>
      <c r="L137" cm="1">
        <f t="array" aca="1" ref="L137" ca="1">_xlfn.XLOOKUP(TEXT(A137, "mmm-yy"), TEXT([2]GASOLINE!$B$5:$B$208, "mmm-yy"), [2]GASOLINE!$C$5:$C$208, "Not Found")</f>
        <v>7899.8359771845016</v>
      </c>
      <c r="M137" cm="1">
        <f t="array" aca="1" ref="M137" ca="1">_xlfn.XLOOKUP(TEXT(A137, "mmm-yy"), TEXT([2]RUNS!$B$5:$B$208, "mmm-yy"), [2]RUNS!$BM$5:$BM$208, "Not Found")</f>
        <v>0.81942176754257201</v>
      </c>
    </row>
    <row r="138" spans="1:13" x14ac:dyDescent="0.25">
      <c r="A138" s="1">
        <f t="shared" ca="1" si="5"/>
        <v>45985</v>
      </c>
      <c r="B138" cm="1">
        <f t="array" aca="1" ref="B138" ca="1">_xlfn.XLOOKUP(TEXT(A138, "mmm-yy"), TEXT([1]Monthly!$C:$C, "mmm-yy"), [1]Monthly!$O:$O, "Not Found")</f>
        <v>67.889848931742961</v>
      </c>
      <c r="C138" cm="1">
        <f t="array" aca="1" ref="C138" ca="1">_xlfn.XLOOKUP(TEXT(A138, "mmm-yy"), TEXT([1]Monthly!$C:$C, "mmm-yy"), [1]Monthly!$P:$P, "Not Found")</f>
        <v>66.695470012001167</v>
      </c>
      <c r="D138" cm="1">
        <f t="array" aca="1" ref="D138" ca="1">_xlfn.XLOOKUP(TEXT(A138, "mmm-yy"), TEXT([1]Monthly!$C:$C, "mmm-yy"), [1]Monthly!$R:$R, "Not Found")</f>
        <v>62.659595177805144</v>
      </c>
      <c r="E138" cm="1">
        <f t="array" aca="1" ref="E138" ca="1">_xlfn.XLOOKUP(TEXT(A138, "mmm-yy"), TEXT([1]Monthly!$C:$C, "mmm-yy"), [1]Monthly!$S:$S, "Not Found")</f>
        <v>75.049848931742957</v>
      </c>
      <c r="F138" cm="1">
        <f t="array" aca="1" ref="F138" ca="1">_xlfn.XLOOKUP(TEXT(A138, "mmm-yy"), TEXT([2]RUNS!$B$5:$B$208, "mmm-yy"), [2]RUNS!$D$5:$D$208, "Not Found")</f>
        <v>30694.801932553964</v>
      </c>
      <c r="G138">
        <f>AVERAGE([3]Sheet1!$H2360,[3]Sheet1!$H2622)</f>
        <v>14154.325000000001</v>
      </c>
      <c r="H138">
        <f>AVERAGE([3]Sheet1!$I2360,[3]Sheet1!$I2622)</f>
        <v>0.37000000000000455</v>
      </c>
      <c r="I138" cm="1">
        <f t="array" aca="1" ref="I138" ca="1">_xlfn.XLOOKUP(TEXT(A138, "mmm-yy"), TEXT([2]GASOLINE!$B$5:$B$208, "mmm-yy"), [2]GASOLINE!$IR$5:$IR$208, "Not Found")</f>
        <v>-389.64184456073792</v>
      </c>
      <c r="J138" cm="1">
        <f t="array" aca="1" ref="J138" ca="1">_xlfn.XLOOKUP(TEXT(A138, "mmm-yy"), TEXT([2]GASOLINE!$B$5:$B$208, "mmm-yy"), [2]GASOLINE!$IK$5:$IK$208, "Not Found")</f>
        <v>330.07164012305395</v>
      </c>
      <c r="K138">
        <f t="shared" ca="1" si="4"/>
        <v>0</v>
      </c>
      <c r="L138" cm="1">
        <f t="array" aca="1" ref="L138" ca="1">_xlfn.XLOOKUP(TEXT(A138, "mmm-yy"), TEXT([2]GASOLINE!$B$5:$B$208, "mmm-yy"), [2]GASOLINE!$C$5:$C$208, "Not Found")</f>
        <v>7899.8359771845016</v>
      </c>
      <c r="M138" cm="1">
        <f t="array" aca="1" ref="M138" ca="1">_xlfn.XLOOKUP(TEXT(A138, "mmm-yy"), TEXT([2]RUNS!$B$5:$B$208, "mmm-yy"), [2]RUNS!$BM$5:$BM$208, "Not Found")</f>
        <v>0.81942176754257201</v>
      </c>
    </row>
    <row r="139" spans="1:13" x14ac:dyDescent="0.25">
      <c r="A139" s="1">
        <f t="shared" ca="1" si="5"/>
        <v>45986</v>
      </c>
      <c r="B139" cm="1">
        <f t="array" aca="1" ref="B139" ca="1">_xlfn.XLOOKUP(TEXT(A139, "mmm-yy"), TEXT([1]Monthly!$C:$C, "mmm-yy"), [1]Monthly!$O:$O, "Not Found")</f>
        <v>67.889848931742961</v>
      </c>
      <c r="C139" cm="1">
        <f t="array" aca="1" ref="C139" ca="1">_xlfn.XLOOKUP(TEXT(A139, "mmm-yy"), TEXT([1]Monthly!$C:$C, "mmm-yy"), [1]Monthly!$P:$P, "Not Found")</f>
        <v>66.695470012001167</v>
      </c>
      <c r="D139" cm="1">
        <f t="array" aca="1" ref="D139" ca="1">_xlfn.XLOOKUP(TEXT(A139, "mmm-yy"), TEXT([1]Monthly!$C:$C, "mmm-yy"), [1]Monthly!$R:$R, "Not Found")</f>
        <v>62.659595177805144</v>
      </c>
      <c r="E139" cm="1">
        <f t="array" aca="1" ref="E139" ca="1">_xlfn.XLOOKUP(TEXT(A139, "mmm-yy"), TEXT([1]Monthly!$C:$C, "mmm-yy"), [1]Monthly!$S:$S, "Not Found")</f>
        <v>75.049848931742957</v>
      </c>
      <c r="F139" cm="1">
        <f t="array" aca="1" ref="F139" ca="1">_xlfn.XLOOKUP(TEXT(A139, "mmm-yy"), TEXT([2]RUNS!$B$5:$B$208, "mmm-yy"), [2]RUNS!$D$5:$D$208, "Not Found")</f>
        <v>30694.801932553964</v>
      </c>
      <c r="G139">
        <f>AVERAGE([3]Sheet1!$H2361,[3]Sheet1!$H2623)</f>
        <v>14154.325000000001</v>
      </c>
      <c r="H139">
        <f>AVERAGE([3]Sheet1!$I2361,[3]Sheet1!$I2623)</f>
        <v>0.26999999999999602</v>
      </c>
      <c r="I139" cm="1">
        <f t="array" aca="1" ref="I139" ca="1">_xlfn.XLOOKUP(TEXT(A139, "mmm-yy"), TEXT([2]GASOLINE!$B$5:$B$208, "mmm-yy"), [2]GASOLINE!$IR$5:$IR$208, "Not Found")</f>
        <v>-389.64184456073792</v>
      </c>
      <c r="J139" cm="1">
        <f t="array" aca="1" ref="J139" ca="1">_xlfn.XLOOKUP(TEXT(A139, "mmm-yy"), TEXT([2]GASOLINE!$B$5:$B$208, "mmm-yy"), [2]GASOLINE!$IK$5:$IK$208, "Not Found")</f>
        <v>330.07164012305395</v>
      </c>
      <c r="K139">
        <f t="shared" ca="1" si="4"/>
        <v>0</v>
      </c>
      <c r="L139" cm="1">
        <f t="array" aca="1" ref="L139" ca="1">_xlfn.XLOOKUP(TEXT(A139, "mmm-yy"), TEXT([2]GASOLINE!$B$5:$B$208, "mmm-yy"), [2]GASOLINE!$C$5:$C$208, "Not Found")</f>
        <v>7899.8359771845016</v>
      </c>
      <c r="M139" cm="1">
        <f t="array" aca="1" ref="M139" ca="1">_xlfn.XLOOKUP(TEXT(A139, "mmm-yy"), TEXT([2]RUNS!$B$5:$B$208, "mmm-yy"), [2]RUNS!$BM$5:$BM$208, "Not Found")</f>
        <v>0.81942176754257201</v>
      </c>
    </row>
    <row r="140" spans="1:13" x14ac:dyDescent="0.25">
      <c r="A140" s="1">
        <f t="shared" ca="1" si="5"/>
        <v>45987</v>
      </c>
      <c r="B140" cm="1">
        <f t="array" aca="1" ref="B140" ca="1">_xlfn.XLOOKUP(TEXT(A140, "mmm-yy"), TEXT([1]Monthly!$C:$C, "mmm-yy"), [1]Monthly!$O:$O, "Not Found")</f>
        <v>67.889848931742961</v>
      </c>
      <c r="C140" cm="1">
        <f t="array" aca="1" ref="C140" ca="1">_xlfn.XLOOKUP(TEXT(A140, "mmm-yy"), TEXT([1]Monthly!$C:$C, "mmm-yy"), [1]Monthly!$P:$P, "Not Found")</f>
        <v>66.695470012001167</v>
      </c>
      <c r="D140" cm="1">
        <f t="array" aca="1" ref="D140" ca="1">_xlfn.XLOOKUP(TEXT(A140, "mmm-yy"), TEXT([1]Monthly!$C:$C, "mmm-yy"), [1]Monthly!$R:$R, "Not Found")</f>
        <v>62.659595177805144</v>
      </c>
      <c r="E140" cm="1">
        <f t="array" aca="1" ref="E140" ca="1">_xlfn.XLOOKUP(TEXT(A140, "mmm-yy"), TEXT([1]Monthly!$C:$C, "mmm-yy"), [1]Monthly!$S:$S, "Not Found")</f>
        <v>75.049848931742957</v>
      </c>
      <c r="F140" cm="1">
        <f t="array" aca="1" ref="F140" ca="1">_xlfn.XLOOKUP(TEXT(A140, "mmm-yy"), TEXT([2]RUNS!$B$5:$B$208, "mmm-yy"), [2]RUNS!$D$5:$D$208, "Not Found")</f>
        <v>30694.801932553964</v>
      </c>
      <c r="G140">
        <f>AVERAGE([3]Sheet1!$H2362,[3]Sheet1!$H2624)</f>
        <v>14154.325000000001</v>
      </c>
      <c r="H140">
        <f>AVERAGE([3]Sheet1!$I2362,[3]Sheet1!$I2624)</f>
        <v>0.32500000000000284</v>
      </c>
      <c r="I140" cm="1">
        <f t="array" aca="1" ref="I140" ca="1">_xlfn.XLOOKUP(TEXT(A140, "mmm-yy"), TEXT([2]GASOLINE!$B$5:$B$208, "mmm-yy"), [2]GASOLINE!$IR$5:$IR$208, "Not Found")</f>
        <v>-389.64184456073792</v>
      </c>
      <c r="J140" cm="1">
        <f t="array" aca="1" ref="J140" ca="1">_xlfn.XLOOKUP(TEXT(A140, "mmm-yy"), TEXT([2]GASOLINE!$B$5:$B$208, "mmm-yy"), [2]GASOLINE!$IK$5:$IK$208, "Not Found")</f>
        <v>330.07164012305395</v>
      </c>
      <c r="K140">
        <f t="shared" ca="1" si="4"/>
        <v>0</v>
      </c>
      <c r="L140" cm="1">
        <f t="array" aca="1" ref="L140" ca="1">_xlfn.XLOOKUP(TEXT(A140, "mmm-yy"), TEXT([2]GASOLINE!$B$5:$B$208, "mmm-yy"), [2]GASOLINE!$C$5:$C$208, "Not Found")</f>
        <v>7899.8359771845016</v>
      </c>
      <c r="M140" cm="1">
        <f t="array" aca="1" ref="M140" ca="1">_xlfn.XLOOKUP(TEXT(A140, "mmm-yy"), TEXT([2]RUNS!$B$5:$B$208, "mmm-yy"), [2]RUNS!$BM$5:$BM$208, "Not Found")</f>
        <v>0.81942176754257201</v>
      </c>
    </row>
    <row r="141" spans="1:13" x14ac:dyDescent="0.25">
      <c r="A141" s="1">
        <f t="shared" ca="1" si="5"/>
        <v>45988</v>
      </c>
      <c r="B141" cm="1">
        <f t="array" aca="1" ref="B141" ca="1">_xlfn.XLOOKUP(TEXT(A141, "mmm-yy"), TEXT([1]Monthly!$C:$C, "mmm-yy"), [1]Monthly!$O:$O, "Not Found")</f>
        <v>67.889848931742961</v>
      </c>
      <c r="C141" cm="1">
        <f t="array" aca="1" ref="C141" ca="1">_xlfn.XLOOKUP(TEXT(A141, "mmm-yy"), TEXT([1]Monthly!$C:$C, "mmm-yy"), [1]Monthly!$P:$P, "Not Found")</f>
        <v>66.695470012001167</v>
      </c>
      <c r="D141" cm="1">
        <f t="array" aca="1" ref="D141" ca="1">_xlfn.XLOOKUP(TEXT(A141, "mmm-yy"), TEXT([1]Monthly!$C:$C, "mmm-yy"), [1]Monthly!$R:$R, "Not Found")</f>
        <v>62.659595177805144</v>
      </c>
      <c r="E141" cm="1">
        <f t="array" aca="1" ref="E141" ca="1">_xlfn.XLOOKUP(TEXT(A141, "mmm-yy"), TEXT([1]Monthly!$C:$C, "mmm-yy"), [1]Monthly!$S:$S, "Not Found")</f>
        <v>75.049848931742957</v>
      </c>
      <c r="F141" cm="1">
        <f t="array" aca="1" ref="F141" ca="1">_xlfn.XLOOKUP(TEXT(A141, "mmm-yy"), TEXT([2]RUNS!$B$5:$B$208, "mmm-yy"), [2]RUNS!$D$5:$D$208, "Not Found")</f>
        <v>30694.801932553964</v>
      </c>
      <c r="G141">
        <f>AVERAGE([3]Sheet1!$H2363,[3]Sheet1!$H2625)</f>
        <v>14154.325000000001</v>
      </c>
      <c r="H141">
        <f>AVERAGE([3]Sheet1!$I2363,[3]Sheet1!$I2625)</f>
        <v>0.26999999999999602</v>
      </c>
      <c r="I141" cm="1">
        <f t="array" aca="1" ref="I141" ca="1">_xlfn.XLOOKUP(TEXT(A141, "mmm-yy"), TEXT([2]GASOLINE!$B$5:$B$208, "mmm-yy"), [2]GASOLINE!$IR$5:$IR$208, "Not Found")</f>
        <v>-389.64184456073792</v>
      </c>
      <c r="J141" cm="1">
        <f t="array" aca="1" ref="J141" ca="1">_xlfn.XLOOKUP(TEXT(A141, "mmm-yy"), TEXT([2]GASOLINE!$B$5:$B$208, "mmm-yy"), [2]GASOLINE!$IK$5:$IK$208, "Not Found")</f>
        <v>330.07164012305395</v>
      </c>
      <c r="K141">
        <f t="shared" ca="1" si="4"/>
        <v>0</v>
      </c>
      <c r="L141" cm="1">
        <f t="array" aca="1" ref="L141" ca="1">_xlfn.XLOOKUP(TEXT(A141, "mmm-yy"), TEXT([2]GASOLINE!$B$5:$B$208, "mmm-yy"), [2]GASOLINE!$C$5:$C$208, "Not Found")</f>
        <v>7899.8359771845016</v>
      </c>
      <c r="M141" cm="1">
        <f t="array" aca="1" ref="M141" ca="1">_xlfn.XLOOKUP(TEXT(A141, "mmm-yy"), TEXT([2]RUNS!$B$5:$B$208, "mmm-yy"), [2]RUNS!$BM$5:$BM$208, "Not Found")</f>
        <v>0.81942176754257201</v>
      </c>
    </row>
    <row r="142" spans="1:13" x14ac:dyDescent="0.25">
      <c r="A142" s="1">
        <f t="shared" ca="1" si="5"/>
        <v>45989</v>
      </c>
      <c r="B142" cm="1">
        <f t="array" aca="1" ref="B142" ca="1">_xlfn.XLOOKUP(TEXT(A142, "mmm-yy"), TEXT([1]Monthly!$C:$C, "mmm-yy"), [1]Monthly!$O:$O, "Not Found")</f>
        <v>67.889848931742961</v>
      </c>
      <c r="C142" cm="1">
        <f t="array" aca="1" ref="C142" ca="1">_xlfn.XLOOKUP(TEXT(A142, "mmm-yy"), TEXT([1]Monthly!$C:$C, "mmm-yy"), [1]Monthly!$P:$P, "Not Found")</f>
        <v>66.695470012001167</v>
      </c>
      <c r="D142" cm="1">
        <f t="array" aca="1" ref="D142" ca="1">_xlfn.XLOOKUP(TEXT(A142, "mmm-yy"), TEXT([1]Monthly!$C:$C, "mmm-yy"), [1]Monthly!$R:$R, "Not Found")</f>
        <v>62.659595177805144</v>
      </c>
      <c r="E142" cm="1">
        <f t="array" aca="1" ref="E142" ca="1">_xlfn.XLOOKUP(TEXT(A142, "mmm-yy"), TEXT([1]Monthly!$C:$C, "mmm-yy"), [1]Monthly!$S:$S, "Not Found")</f>
        <v>75.049848931742957</v>
      </c>
      <c r="F142" cm="1">
        <f t="array" aca="1" ref="F142" ca="1">_xlfn.XLOOKUP(TEXT(A142, "mmm-yy"), TEXT([2]RUNS!$B$5:$B$208, "mmm-yy"), [2]RUNS!$D$5:$D$208, "Not Found")</f>
        <v>30694.801932553964</v>
      </c>
      <c r="G142">
        <f>AVERAGE([3]Sheet1!$H2364,[3]Sheet1!$H2626)</f>
        <v>14154.325000000001</v>
      </c>
      <c r="H142">
        <f>AVERAGE([3]Sheet1!$I2364,[3]Sheet1!$I2626)</f>
        <v>0.31499999999999773</v>
      </c>
      <c r="I142" cm="1">
        <f t="array" aca="1" ref="I142" ca="1">_xlfn.XLOOKUP(TEXT(A142, "mmm-yy"), TEXT([2]GASOLINE!$B$5:$B$208, "mmm-yy"), [2]GASOLINE!$IR$5:$IR$208, "Not Found")</f>
        <v>-389.64184456073792</v>
      </c>
      <c r="J142" cm="1">
        <f t="array" aca="1" ref="J142" ca="1">_xlfn.XLOOKUP(TEXT(A142, "mmm-yy"), TEXT([2]GASOLINE!$B$5:$B$208, "mmm-yy"), [2]GASOLINE!$IK$5:$IK$208, "Not Found")</f>
        <v>330.07164012305395</v>
      </c>
      <c r="K142">
        <f t="shared" ca="1" si="4"/>
        <v>0</v>
      </c>
      <c r="L142" cm="1">
        <f t="array" aca="1" ref="L142" ca="1">_xlfn.XLOOKUP(TEXT(A142, "mmm-yy"), TEXT([2]GASOLINE!$B$5:$B$208, "mmm-yy"), [2]GASOLINE!$C$5:$C$208, "Not Found")</f>
        <v>7899.8359771845016</v>
      </c>
      <c r="M142" cm="1">
        <f t="array" aca="1" ref="M142" ca="1">_xlfn.XLOOKUP(TEXT(A142, "mmm-yy"), TEXT([2]RUNS!$B$5:$B$208, "mmm-yy"), [2]RUNS!$BM$5:$BM$208, "Not Found")</f>
        <v>0.81942176754257201</v>
      </c>
    </row>
    <row r="143" spans="1:13" x14ac:dyDescent="0.25">
      <c r="A143" s="1">
        <f t="shared" ca="1" si="5"/>
        <v>45990</v>
      </c>
      <c r="B143" cm="1">
        <f t="array" aca="1" ref="B143" ca="1">_xlfn.XLOOKUP(TEXT(A143, "mmm-yy"), TEXT([1]Monthly!$C:$C, "mmm-yy"), [1]Monthly!$O:$O, "Not Found")</f>
        <v>67.889848931742961</v>
      </c>
      <c r="C143" cm="1">
        <f t="array" aca="1" ref="C143" ca="1">_xlfn.XLOOKUP(TEXT(A143, "mmm-yy"), TEXT([1]Monthly!$C:$C, "mmm-yy"), [1]Monthly!$P:$P, "Not Found")</f>
        <v>66.695470012001167</v>
      </c>
      <c r="D143" cm="1">
        <f t="array" aca="1" ref="D143" ca="1">_xlfn.XLOOKUP(TEXT(A143, "mmm-yy"), TEXT([1]Monthly!$C:$C, "mmm-yy"), [1]Monthly!$R:$R, "Not Found")</f>
        <v>62.659595177805144</v>
      </c>
      <c r="E143" cm="1">
        <f t="array" aca="1" ref="E143" ca="1">_xlfn.XLOOKUP(TEXT(A143, "mmm-yy"), TEXT([1]Monthly!$C:$C, "mmm-yy"), [1]Monthly!$S:$S, "Not Found")</f>
        <v>75.049848931742957</v>
      </c>
      <c r="F143" cm="1">
        <f t="array" aca="1" ref="F143" ca="1">_xlfn.XLOOKUP(TEXT(A143, "mmm-yy"), TEXT([2]RUNS!$B$5:$B$208, "mmm-yy"), [2]RUNS!$D$5:$D$208, "Not Found")</f>
        <v>30694.801932553964</v>
      </c>
      <c r="G143">
        <f>AVERAGE([3]Sheet1!$H2365,[3]Sheet1!$H2627)</f>
        <v>14154.325000000001</v>
      </c>
      <c r="H143">
        <f>AVERAGE([3]Sheet1!$I2365,[3]Sheet1!$I2627)</f>
        <v>0.61500000000000199</v>
      </c>
      <c r="I143" cm="1">
        <f t="array" aca="1" ref="I143" ca="1">_xlfn.XLOOKUP(TEXT(A143, "mmm-yy"), TEXT([2]GASOLINE!$B$5:$B$208, "mmm-yy"), [2]GASOLINE!$IR$5:$IR$208, "Not Found")</f>
        <v>-389.64184456073792</v>
      </c>
      <c r="J143" cm="1">
        <f t="array" aca="1" ref="J143" ca="1">_xlfn.XLOOKUP(TEXT(A143, "mmm-yy"), TEXT([2]GASOLINE!$B$5:$B$208, "mmm-yy"), [2]GASOLINE!$IK$5:$IK$208, "Not Found")</f>
        <v>330.07164012305395</v>
      </c>
      <c r="K143">
        <f t="shared" ca="1" si="4"/>
        <v>0</v>
      </c>
      <c r="L143" cm="1">
        <f t="array" aca="1" ref="L143" ca="1">_xlfn.XLOOKUP(TEXT(A143, "mmm-yy"), TEXT([2]GASOLINE!$B$5:$B$208, "mmm-yy"), [2]GASOLINE!$C$5:$C$208, "Not Found")</f>
        <v>7899.8359771845016</v>
      </c>
      <c r="M143" cm="1">
        <f t="array" aca="1" ref="M143" ca="1">_xlfn.XLOOKUP(TEXT(A143, "mmm-yy"), TEXT([2]RUNS!$B$5:$B$208, "mmm-yy"), [2]RUNS!$BM$5:$BM$208, "Not Found")</f>
        <v>0.81942176754257201</v>
      </c>
    </row>
    <row r="144" spans="1:13" x14ac:dyDescent="0.25">
      <c r="A144" s="1">
        <f t="shared" ca="1" si="5"/>
        <v>45991</v>
      </c>
      <c r="B144" cm="1">
        <f t="array" aca="1" ref="B144" ca="1">_xlfn.XLOOKUP(TEXT(A144, "mmm-yy"), TEXT([1]Monthly!$C:$C, "mmm-yy"), [1]Monthly!$O:$O, "Not Found")</f>
        <v>67.889848931742961</v>
      </c>
      <c r="C144" cm="1">
        <f t="array" aca="1" ref="C144" ca="1">_xlfn.XLOOKUP(TEXT(A144, "mmm-yy"), TEXT([1]Monthly!$C:$C, "mmm-yy"), [1]Monthly!$P:$P, "Not Found")</f>
        <v>66.695470012001167</v>
      </c>
      <c r="D144" cm="1">
        <f t="array" aca="1" ref="D144" ca="1">_xlfn.XLOOKUP(TEXT(A144, "mmm-yy"), TEXT([1]Monthly!$C:$C, "mmm-yy"), [1]Monthly!$R:$R, "Not Found")</f>
        <v>62.659595177805144</v>
      </c>
      <c r="E144" cm="1">
        <f t="array" aca="1" ref="E144" ca="1">_xlfn.XLOOKUP(TEXT(A144, "mmm-yy"), TEXT([1]Monthly!$C:$C, "mmm-yy"), [1]Monthly!$S:$S, "Not Found")</f>
        <v>75.049848931742957</v>
      </c>
      <c r="F144" cm="1">
        <f t="array" aca="1" ref="F144" ca="1">_xlfn.XLOOKUP(TEXT(A144, "mmm-yy"), TEXT([2]RUNS!$B$5:$B$208, "mmm-yy"), [2]RUNS!$D$5:$D$208, "Not Found")</f>
        <v>30694.801932553964</v>
      </c>
      <c r="G144">
        <f>AVERAGE([3]Sheet1!$H2366,[3]Sheet1!$H2628)</f>
        <v>14154.325000000001</v>
      </c>
      <c r="H144">
        <f>AVERAGE([3]Sheet1!$I2366,[3]Sheet1!$I2628)</f>
        <v>0.74999999999999289</v>
      </c>
      <c r="I144" cm="1">
        <f t="array" aca="1" ref="I144" ca="1">_xlfn.XLOOKUP(TEXT(A144, "mmm-yy"), TEXT([2]GASOLINE!$B$5:$B$208, "mmm-yy"), [2]GASOLINE!$IR$5:$IR$208, "Not Found")</f>
        <v>-389.64184456073792</v>
      </c>
      <c r="J144" cm="1">
        <f t="array" aca="1" ref="J144" ca="1">_xlfn.XLOOKUP(TEXT(A144, "mmm-yy"), TEXT([2]GASOLINE!$B$5:$B$208, "mmm-yy"), [2]GASOLINE!$IK$5:$IK$208, "Not Found")</f>
        <v>330.07164012305395</v>
      </c>
      <c r="K144">
        <f t="shared" ca="1" si="4"/>
        <v>0</v>
      </c>
      <c r="L144" cm="1">
        <f t="array" aca="1" ref="L144" ca="1">_xlfn.XLOOKUP(TEXT(A144, "mmm-yy"), TEXT([2]GASOLINE!$B$5:$B$208, "mmm-yy"), [2]GASOLINE!$C$5:$C$208, "Not Found")</f>
        <v>7899.8359771845016</v>
      </c>
      <c r="M144" cm="1">
        <f t="array" aca="1" ref="M144" ca="1">_xlfn.XLOOKUP(TEXT(A144, "mmm-yy"), TEXT([2]RUNS!$B$5:$B$208, "mmm-yy"), [2]RUNS!$BM$5:$BM$208, "Not Found")</f>
        <v>0.81942176754257201</v>
      </c>
    </row>
    <row r="145" spans="1:13" x14ac:dyDescent="0.25">
      <c r="A145" s="1">
        <f t="shared" ca="1" si="5"/>
        <v>45992</v>
      </c>
      <c r="B145" cm="1">
        <f t="array" aca="1" ref="B145" ca="1">_xlfn.XLOOKUP(TEXT(A145, "mmm-yy"), TEXT([1]Monthly!$C:$C, "mmm-yy"), [1]Monthly!$O:$O, "Not Found")</f>
        <v>67.162889186041866</v>
      </c>
      <c r="C145" cm="1">
        <f t="array" aca="1" ref="C145" ca="1">_xlfn.XLOOKUP(TEXT(A145, "mmm-yy"), TEXT([1]Monthly!$C:$C, "mmm-yy"), [1]Monthly!$P:$P, "Not Found")</f>
        <v>67.186662869053364</v>
      </c>
      <c r="D145" cm="1">
        <f t="array" aca="1" ref="D145" ca="1">_xlfn.XLOOKUP(TEXT(A145, "mmm-yy"), TEXT([1]Monthly!$C:$C, "mmm-yy"), [1]Monthly!$R:$R, "Not Found")</f>
        <v>63.095939238773788</v>
      </c>
      <c r="E145" cm="1">
        <f t="array" aca="1" ref="E145" ca="1">_xlfn.XLOOKUP(TEXT(A145, "mmm-yy"), TEXT([1]Monthly!$C:$C, "mmm-yy"), [1]Monthly!$S:$S, "Not Found")</f>
        <v>73.832889186041868</v>
      </c>
      <c r="F145" cm="1">
        <f t="array" aca="1" ref="F145" ca="1">_xlfn.XLOOKUP(TEXT(A145, "mmm-yy"), TEXT([2]RUNS!$B$5:$B$208, "mmm-yy"), [2]RUNS!$D$5:$D$208, "Not Found")</f>
        <v>31461.620603388652</v>
      </c>
      <c r="G145">
        <f>AVERAGE([3]Sheet1!$H2367,[3]Sheet1!$H2629)</f>
        <v>14154.325000000001</v>
      </c>
      <c r="H145">
        <f>AVERAGE([3]Sheet1!$I2367,[3]Sheet1!$I2629)</f>
        <v>0.97500000000000142</v>
      </c>
      <c r="I145" cm="1">
        <f t="array" aca="1" ref="I145" ca="1">_xlfn.XLOOKUP(TEXT(A145, "mmm-yy"), TEXT([2]GASOLINE!$B$5:$B$208, "mmm-yy"), [2]GASOLINE!$IR$5:$IR$208, "Not Found")</f>
        <v>-209.33802900108475</v>
      </c>
      <c r="J145" cm="1">
        <f t="array" aca="1" ref="J145" ca="1">_xlfn.XLOOKUP(TEXT(A145, "mmm-yy"), TEXT([2]GASOLINE!$B$5:$B$208, "mmm-yy"), [2]GASOLINE!$IK$5:$IK$208, "Not Found")</f>
        <v>332.47424667604156</v>
      </c>
      <c r="K145">
        <f t="shared" ca="1" si="4"/>
        <v>0</v>
      </c>
      <c r="L145" cm="1">
        <f t="array" aca="1" ref="L145" ca="1">_xlfn.XLOOKUP(TEXT(A145, "mmm-yy"), TEXT([2]GASOLINE!$B$5:$B$208, "mmm-yy"), [2]GASOLINE!$C$5:$C$208, "Not Found")</f>
        <v>7822.3911552204609</v>
      </c>
      <c r="M145" cm="1">
        <f t="array" aca="1" ref="M145" ca="1">_xlfn.XLOOKUP(TEXT(A145, "mmm-yy"), TEXT([2]RUNS!$B$5:$B$208, "mmm-yy"), [2]RUNS!$BM$5:$BM$208, "Not Found")</f>
        <v>0.84192666044188558</v>
      </c>
    </row>
    <row r="146" spans="1:13" x14ac:dyDescent="0.25">
      <c r="A146" s="1">
        <f t="shared" ca="1" si="5"/>
        <v>45993</v>
      </c>
      <c r="B146" cm="1">
        <f t="array" aca="1" ref="B146" ca="1">_xlfn.XLOOKUP(TEXT(A146, "mmm-yy"), TEXT([1]Monthly!$C:$C, "mmm-yy"), [1]Monthly!$O:$O, "Not Found")</f>
        <v>67.162889186041866</v>
      </c>
      <c r="C146" cm="1">
        <f t="array" aca="1" ref="C146" ca="1">_xlfn.XLOOKUP(TEXT(A146, "mmm-yy"), TEXT([1]Monthly!$C:$C, "mmm-yy"), [1]Monthly!$P:$P, "Not Found")</f>
        <v>67.186662869053364</v>
      </c>
      <c r="D146" cm="1">
        <f t="array" aca="1" ref="D146" ca="1">_xlfn.XLOOKUP(TEXT(A146, "mmm-yy"), TEXT([1]Monthly!$C:$C, "mmm-yy"), [1]Monthly!$R:$R, "Not Found")</f>
        <v>63.095939238773788</v>
      </c>
      <c r="E146" cm="1">
        <f t="array" aca="1" ref="E146" ca="1">_xlfn.XLOOKUP(TEXT(A146, "mmm-yy"), TEXT([1]Monthly!$C:$C, "mmm-yy"), [1]Monthly!$S:$S, "Not Found")</f>
        <v>73.832889186041868</v>
      </c>
      <c r="F146" cm="1">
        <f t="array" aca="1" ref="F146" ca="1">_xlfn.XLOOKUP(TEXT(A146, "mmm-yy"), TEXT([2]RUNS!$B$5:$B$208, "mmm-yy"), [2]RUNS!$D$5:$D$208, "Not Found")</f>
        <v>31461.620603388652</v>
      </c>
      <c r="G146">
        <f>AVERAGE([3]Sheet1!$H2368,[3]Sheet1!$H2630)</f>
        <v>14154.325000000001</v>
      </c>
      <c r="H146">
        <f>AVERAGE([3]Sheet1!$I2368,[3]Sheet1!$I2630)</f>
        <v>0.9550000000000054</v>
      </c>
      <c r="I146" cm="1">
        <f t="array" aca="1" ref="I146" ca="1">_xlfn.XLOOKUP(TEXT(A146, "mmm-yy"), TEXT([2]GASOLINE!$B$5:$B$208, "mmm-yy"), [2]GASOLINE!$IR$5:$IR$208, "Not Found")</f>
        <v>-209.33802900108475</v>
      </c>
      <c r="J146" cm="1">
        <f t="array" aca="1" ref="J146" ca="1">_xlfn.XLOOKUP(TEXT(A146, "mmm-yy"), TEXT([2]GASOLINE!$B$5:$B$208, "mmm-yy"), [2]GASOLINE!$IK$5:$IK$208, "Not Found")</f>
        <v>332.47424667604156</v>
      </c>
      <c r="K146">
        <f t="shared" ca="1" si="4"/>
        <v>0</v>
      </c>
      <c r="L146" cm="1">
        <f t="array" aca="1" ref="L146" ca="1">_xlfn.XLOOKUP(TEXT(A146, "mmm-yy"), TEXT([2]GASOLINE!$B$5:$B$208, "mmm-yy"), [2]GASOLINE!$C$5:$C$208, "Not Found")</f>
        <v>7822.3911552204609</v>
      </c>
      <c r="M146" cm="1">
        <f t="array" aca="1" ref="M146" ca="1">_xlfn.XLOOKUP(TEXT(A146, "mmm-yy"), TEXT([2]RUNS!$B$5:$B$208, "mmm-yy"), [2]RUNS!$BM$5:$BM$208, "Not Found")</f>
        <v>0.84192666044188558</v>
      </c>
    </row>
    <row r="147" spans="1:13" x14ac:dyDescent="0.25">
      <c r="A147" s="1">
        <f t="shared" ca="1" si="5"/>
        <v>45994</v>
      </c>
      <c r="B147" cm="1">
        <f t="array" aca="1" ref="B147" ca="1">_xlfn.XLOOKUP(TEXT(A147, "mmm-yy"), TEXT([1]Monthly!$C:$C, "mmm-yy"), [1]Monthly!$O:$O, "Not Found")</f>
        <v>67.162889186041866</v>
      </c>
      <c r="C147" cm="1">
        <f t="array" aca="1" ref="C147" ca="1">_xlfn.XLOOKUP(TEXT(A147, "mmm-yy"), TEXT([1]Monthly!$C:$C, "mmm-yy"), [1]Monthly!$P:$P, "Not Found")</f>
        <v>67.186662869053364</v>
      </c>
      <c r="D147" cm="1">
        <f t="array" aca="1" ref="D147" ca="1">_xlfn.XLOOKUP(TEXT(A147, "mmm-yy"), TEXT([1]Monthly!$C:$C, "mmm-yy"), [1]Monthly!$R:$R, "Not Found")</f>
        <v>63.095939238773788</v>
      </c>
      <c r="E147" cm="1">
        <f t="array" aca="1" ref="E147" ca="1">_xlfn.XLOOKUP(TEXT(A147, "mmm-yy"), TEXT([1]Monthly!$C:$C, "mmm-yy"), [1]Monthly!$S:$S, "Not Found")</f>
        <v>73.832889186041868</v>
      </c>
      <c r="F147" cm="1">
        <f t="array" aca="1" ref="F147" ca="1">_xlfn.XLOOKUP(TEXT(A147, "mmm-yy"), TEXT([2]RUNS!$B$5:$B$208, "mmm-yy"), [2]RUNS!$D$5:$D$208, "Not Found")</f>
        <v>31461.620603388652</v>
      </c>
      <c r="G147">
        <f>AVERAGE([3]Sheet1!$H2369,[3]Sheet1!$H2631)</f>
        <v>14154.325000000001</v>
      </c>
      <c r="H147">
        <f>AVERAGE([3]Sheet1!$I2369,[3]Sheet1!$I2631)</f>
        <v>1.0200000000000031</v>
      </c>
      <c r="I147" cm="1">
        <f t="array" aca="1" ref="I147" ca="1">_xlfn.XLOOKUP(TEXT(A147, "mmm-yy"), TEXT([2]GASOLINE!$B$5:$B$208, "mmm-yy"), [2]GASOLINE!$IR$5:$IR$208, "Not Found")</f>
        <v>-209.33802900108475</v>
      </c>
      <c r="J147" cm="1">
        <f t="array" aca="1" ref="J147" ca="1">_xlfn.XLOOKUP(TEXT(A147, "mmm-yy"), TEXT([2]GASOLINE!$B$5:$B$208, "mmm-yy"), [2]GASOLINE!$IK$5:$IK$208, "Not Found")</f>
        <v>332.47424667604156</v>
      </c>
      <c r="K147">
        <f t="shared" ca="1" si="4"/>
        <v>0</v>
      </c>
      <c r="L147" cm="1">
        <f t="array" aca="1" ref="L147" ca="1">_xlfn.XLOOKUP(TEXT(A147, "mmm-yy"), TEXT([2]GASOLINE!$B$5:$B$208, "mmm-yy"), [2]GASOLINE!$C$5:$C$208, "Not Found")</f>
        <v>7822.3911552204609</v>
      </c>
      <c r="M147" cm="1">
        <f t="array" aca="1" ref="M147" ca="1">_xlfn.XLOOKUP(TEXT(A147, "mmm-yy"), TEXT([2]RUNS!$B$5:$B$208, "mmm-yy"), [2]RUNS!$BM$5:$BM$208, "Not Found")</f>
        <v>0.84192666044188558</v>
      </c>
    </row>
    <row r="148" spans="1:13" x14ac:dyDescent="0.25">
      <c r="A148" s="1">
        <f t="shared" ca="1" si="5"/>
        <v>45995</v>
      </c>
      <c r="B148" cm="1">
        <f t="array" aca="1" ref="B148" ca="1">_xlfn.XLOOKUP(TEXT(A148, "mmm-yy"), TEXT([1]Monthly!$C:$C, "mmm-yy"), [1]Monthly!$O:$O, "Not Found")</f>
        <v>67.162889186041866</v>
      </c>
      <c r="C148" cm="1">
        <f t="array" aca="1" ref="C148" ca="1">_xlfn.XLOOKUP(TEXT(A148, "mmm-yy"), TEXT([1]Monthly!$C:$C, "mmm-yy"), [1]Monthly!$P:$P, "Not Found")</f>
        <v>67.186662869053364</v>
      </c>
      <c r="D148" cm="1">
        <f t="array" aca="1" ref="D148" ca="1">_xlfn.XLOOKUP(TEXT(A148, "mmm-yy"), TEXT([1]Monthly!$C:$C, "mmm-yy"), [1]Monthly!$R:$R, "Not Found")</f>
        <v>63.095939238773788</v>
      </c>
      <c r="E148" cm="1">
        <f t="array" aca="1" ref="E148" ca="1">_xlfn.XLOOKUP(TEXT(A148, "mmm-yy"), TEXT([1]Monthly!$C:$C, "mmm-yy"), [1]Monthly!$S:$S, "Not Found")</f>
        <v>73.832889186041868</v>
      </c>
      <c r="F148" cm="1">
        <f t="array" aca="1" ref="F148" ca="1">_xlfn.XLOOKUP(TEXT(A148, "mmm-yy"), TEXT([2]RUNS!$B$5:$B$208, "mmm-yy"), [2]RUNS!$D$5:$D$208, "Not Found")</f>
        <v>31461.620603388652</v>
      </c>
      <c r="G148">
        <f>AVERAGE([3]Sheet1!$H2370,[3]Sheet1!$H2632)</f>
        <v>14154.325000000001</v>
      </c>
      <c r="H148">
        <f>AVERAGE([3]Sheet1!$I2370,[3]Sheet1!$I2632)</f>
        <v>0.82000000000000028</v>
      </c>
      <c r="I148" cm="1">
        <f t="array" aca="1" ref="I148" ca="1">_xlfn.XLOOKUP(TEXT(A148, "mmm-yy"), TEXT([2]GASOLINE!$B$5:$B$208, "mmm-yy"), [2]GASOLINE!$IR$5:$IR$208, "Not Found")</f>
        <v>-209.33802900108475</v>
      </c>
      <c r="J148" cm="1">
        <f t="array" aca="1" ref="J148" ca="1">_xlfn.XLOOKUP(TEXT(A148, "mmm-yy"), TEXT([2]GASOLINE!$B$5:$B$208, "mmm-yy"), [2]GASOLINE!$IK$5:$IK$208, "Not Found")</f>
        <v>332.47424667604156</v>
      </c>
      <c r="K148">
        <f t="shared" ca="1" si="4"/>
        <v>0</v>
      </c>
      <c r="L148" cm="1">
        <f t="array" aca="1" ref="L148" ca="1">_xlfn.XLOOKUP(TEXT(A148, "mmm-yy"), TEXT([2]GASOLINE!$B$5:$B$208, "mmm-yy"), [2]GASOLINE!$C$5:$C$208, "Not Found")</f>
        <v>7822.3911552204609</v>
      </c>
      <c r="M148" cm="1">
        <f t="array" aca="1" ref="M148" ca="1">_xlfn.XLOOKUP(TEXT(A148, "mmm-yy"), TEXT([2]RUNS!$B$5:$B$208, "mmm-yy"), [2]RUNS!$BM$5:$BM$208, "Not Found")</f>
        <v>0.84192666044188558</v>
      </c>
    </row>
    <row r="149" spans="1:13" x14ac:dyDescent="0.25">
      <c r="A149" s="1">
        <f t="shared" ca="1" si="5"/>
        <v>45996</v>
      </c>
      <c r="B149" cm="1">
        <f t="array" aca="1" ref="B149" ca="1">_xlfn.XLOOKUP(TEXT(A149, "mmm-yy"), TEXT([1]Monthly!$C:$C, "mmm-yy"), [1]Monthly!$O:$O, "Not Found")</f>
        <v>67.162889186041866</v>
      </c>
      <c r="C149" cm="1">
        <f t="array" aca="1" ref="C149" ca="1">_xlfn.XLOOKUP(TEXT(A149, "mmm-yy"), TEXT([1]Monthly!$C:$C, "mmm-yy"), [1]Monthly!$P:$P, "Not Found")</f>
        <v>67.186662869053364</v>
      </c>
      <c r="D149" cm="1">
        <f t="array" aca="1" ref="D149" ca="1">_xlfn.XLOOKUP(TEXT(A149, "mmm-yy"), TEXT([1]Monthly!$C:$C, "mmm-yy"), [1]Monthly!$R:$R, "Not Found")</f>
        <v>63.095939238773788</v>
      </c>
      <c r="E149" cm="1">
        <f t="array" aca="1" ref="E149" ca="1">_xlfn.XLOOKUP(TEXT(A149, "mmm-yy"), TEXT([1]Monthly!$C:$C, "mmm-yy"), [1]Monthly!$S:$S, "Not Found")</f>
        <v>73.832889186041868</v>
      </c>
      <c r="F149" cm="1">
        <f t="array" aca="1" ref="F149" ca="1">_xlfn.XLOOKUP(TEXT(A149, "mmm-yy"), TEXT([2]RUNS!$B$5:$B$208, "mmm-yy"), [2]RUNS!$D$5:$D$208, "Not Found")</f>
        <v>31461.620603388652</v>
      </c>
      <c r="G149">
        <f>AVERAGE([3]Sheet1!$H2371,[3]Sheet1!$H2633)</f>
        <v>14154.325000000001</v>
      </c>
      <c r="H149">
        <f>AVERAGE([3]Sheet1!$I2371,[3]Sheet1!$I2633)</f>
        <v>0.79000000000000625</v>
      </c>
      <c r="I149" cm="1">
        <f t="array" aca="1" ref="I149" ca="1">_xlfn.XLOOKUP(TEXT(A149, "mmm-yy"), TEXT([2]GASOLINE!$B$5:$B$208, "mmm-yy"), [2]GASOLINE!$IR$5:$IR$208, "Not Found")</f>
        <v>-209.33802900108475</v>
      </c>
      <c r="J149" cm="1">
        <f t="array" aca="1" ref="J149" ca="1">_xlfn.XLOOKUP(TEXT(A149, "mmm-yy"), TEXT([2]GASOLINE!$B$5:$B$208, "mmm-yy"), [2]GASOLINE!$IK$5:$IK$208, "Not Found")</f>
        <v>332.47424667604156</v>
      </c>
      <c r="K149">
        <f t="shared" ca="1" si="4"/>
        <v>0</v>
      </c>
      <c r="L149" cm="1">
        <f t="array" aca="1" ref="L149" ca="1">_xlfn.XLOOKUP(TEXT(A149, "mmm-yy"), TEXT([2]GASOLINE!$B$5:$B$208, "mmm-yy"), [2]GASOLINE!$C$5:$C$208, "Not Found")</f>
        <v>7822.3911552204609</v>
      </c>
      <c r="M149" cm="1">
        <f t="array" aca="1" ref="M149" ca="1">_xlfn.XLOOKUP(TEXT(A149, "mmm-yy"), TEXT([2]RUNS!$B$5:$B$208, "mmm-yy"), [2]RUNS!$BM$5:$BM$208, "Not Found")</f>
        <v>0.84192666044188558</v>
      </c>
    </row>
    <row r="150" spans="1:13" x14ac:dyDescent="0.25">
      <c r="A150" s="1">
        <f t="shared" ca="1" si="5"/>
        <v>45997</v>
      </c>
      <c r="B150" cm="1">
        <f t="array" aca="1" ref="B150" ca="1">_xlfn.XLOOKUP(TEXT(A150, "mmm-yy"), TEXT([1]Monthly!$C:$C, "mmm-yy"), [1]Monthly!$O:$O, "Not Found")</f>
        <v>67.162889186041866</v>
      </c>
      <c r="C150" cm="1">
        <f t="array" aca="1" ref="C150" ca="1">_xlfn.XLOOKUP(TEXT(A150, "mmm-yy"), TEXT([1]Monthly!$C:$C, "mmm-yy"), [1]Monthly!$P:$P, "Not Found")</f>
        <v>67.186662869053364</v>
      </c>
      <c r="D150" cm="1">
        <f t="array" aca="1" ref="D150" ca="1">_xlfn.XLOOKUP(TEXT(A150, "mmm-yy"), TEXT([1]Monthly!$C:$C, "mmm-yy"), [1]Monthly!$R:$R, "Not Found")</f>
        <v>63.095939238773788</v>
      </c>
      <c r="E150" cm="1">
        <f t="array" aca="1" ref="E150" ca="1">_xlfn.XLOOKUP(TEXT(A150, "mmm-yy"), TEXT([1]Monthly!$C:$C, "mmm-yy"), [1]Monthly!$S:$S, "Not Found")</f>
        <v>73.832889186041868</v>
      </c>
      <c r="F150" cm="1">
        <f t="array" aca="1" ref="F150" ca="1">_xlfn.XLOOKUP(TEXT(A150, "mmm-yy"), TEXT([2]RUNS!$B$5:$B$208, "mmm-yy"), [2]RUNS!$D$5:$D$208, "Not Found")</f>
        <v>31461.620603388652</v>
      </c>
      <c r="G150">
        <f>AVERAGE([3]Sheet1!$H2372,[3]Sheet1!$H2634)</f>
        <v>15095.75</v>
      </c>
      <c r="H150">
        <f>AVERAGE([3]Sheet1!$I2372,[3]Sheet1!$I2634)</f>
        <v>1.0200000000000031</v>
      </c>
      <c r="I150" cm="1">
        <f t="array" aca="1" ref="I150" ca="1">_xlfn.XLOOKUP(TEXT(A150, "mmm-yy"), TEXT([2]GASOLINE!$B$5:$B$208, "mmm-yy"), [2]GASOLINE!$IR$5:$IR$208, "Not Found")</f>
        <v>-209.33802900108475</v>
      </c>
      <c r="J150" cm="1">
        <f t="array" aca="1" ref="J150" ca="1">_xlfn.XLOOKUP(TEXT(A150, "mmm-yy"), TEXT([2]GASOLINE!$B$5:$B$208, "mmm-yy"), [2]GASOLINE!$IK$5:$IK$208, "Not Found")</f>
        <v>332.47424667604156</v>
      </c>
      <c r="K150">
        <f t="shared" ca="1" si="4"/>
        <v>0</v>
      </c>
      <c r="L150" cm="1">
        <f t="array" aca="1" ref="L150" ca="1">_xlfn.XLOOKUP(TEXT(A150, "mmm-yy"), TEXT([2]GASOLINE!$B$5:$B$208, "mmm-yy"), [2]GASOLINE!$C$5:$C$208, "Not Found")</f>
        <v>7822.3911552204609</v>
      </c>
      <c r="M150" cm="1">
        <f t="array" aca="1" ref="M150" ca="1">_xlfn.XLOOKUP(TEXT(A150, "mmm-yy"), TEXT([2]RUNS!$B$5:$B$208, "mmm-yy"), [2]RUNS!$BM$5:$BM$208, "Not Found")</f>
        <v>0.84192666044188558</v>
      </c>
    </row>
    <row r="151" spans="1:13" x14ac:dyDescent="0.25">
      <c r="A151" s="1">
        <f t="shared" ca="1" si="5"/>
        <v>45998</v>
      </c>
      <c r="B151" cm="1">
        <f t="array" aca="1" ref="B151" ca="1">_xlfn.XLOOKUP(TEXT(A151, "mmm-yy"), TEXT([1]Monthly!$C:$C, "mmm-yy"), [1]Monthly!$O:$O, "Not Found")</f>
        <v>67.162889186041866</v>
      </c>
      <c r="C151" cm="1">
        <f t="array" aca="1" ref="C151" ca="1">_xlfn.XLOOKUP(TEXT(A151, "mmm-yy"), TEXT([1]Monthly!$C:$C, "mmm-yy"), [1]Monthly!$P:$P, "Not Found")</f>
        <v>67.186662869053364</v>
      </c>
      <c r="D151" cm="1">
        <f t="array" aca="1" ref="D151" ca="1">_xlfn.XLOOKUP(TEXT(A151, "mmm-yy"), TEXT([1]Monthly!$C:$C, "mmm-yy"), [1]Monthly!$R:$R, "Not Found")</f>
        <v>63.095939238773788</v>
      </c>
      <c r="E151" cm="1">
        <f t="array" aca="1" ref="E151" ca="1">_xlfn.XLOOKUP(TEXT(A151, "mmm-yy"), TEXT([1]Monthly!$C:$C, "mmm-yy"), [1]Monthly!$S:$S, "Not Found")</f>
        <v>73.832889186041868</v>
      </c>
      <c r="F151" cm="1">
        <f t="array" aca="1" ref="F151" ca="1">_xlfn.XLOOKUP(TEXT(A151, "mmm-yy"), TEXT([2]RUNS!$B$5:$B$208, "mmm-yy"), [2]RUNS!$D$5:$D$208, "Not Found")</f>
        <v>31461.620603388652</v>
      </c>
      <c r="G151">
        <f>AVERAGE([3]Sheet1!$H2373,[3]Sheet1!$H2635)</f>
        <v>15095.75</v>
      </c>
      <c r="H151">
        <f>AVERAGE([3]Sheet1!$I2373,[3]Sheet1!$I2635)</f>
        <v>0.83999999999999631</v>
      </c>
      <c r="I151" cm="1">
        <f t="array" aca="1" ref="I151" ca="1">_xlfn.XLOOKUP(TEXT(A151, "mmm-yy"), TEXT([2]GASOLINE!$B$5:$B$208, "mmm-yy"), [2]GASOLINE!$IR$5:$IR$208, "Not Found")</f>
        <v>-209.33802900108475</v>
      </c>
      <c r="J151" cm="1">
        <f t="array" aca="1" ref="J151" ca="1">_xlfn.XLOOKUP(TEXT(A151, "mmm-yy"), TEXT([2]GASOLINE!$B$5:$B$208, "mmm-yy"), [2]GASOLINE!$IK$5:$IK$208, "Not Found")</f>
        <v>332.47424667604156</v>
      </c>
      <c r="K151">
        <f t="shared" ca="1" si="4"/>
        <v>0</v>
      </c>
      <c r="L151" cm="1">
        <f t="array" aca="1" ref="L151" ca="1">_xlfn.XLOOKUP(TEXT(A151, "mmm-yy"), TEXT([2]GASOLINE!$B$5:$B$208, "mmm-yy"), [2]GASOLINE!$C$5:$C$208, "Not Found")</f>
        <v>7822.3911552204609</v>
      </c>
      <c r="M151" cm="1">
        <f t="array" aca="1" ref="M151" ca="1">_xlfn.XLOOKUP(TEXT(A151, "mmm-yy"), TEXT([2]RUNS!$B$5:$B$208, "mmm-yy"), [2]RUNS!$BM$5:$BM$208, "Not Found")</f>
        <v>0.84192666044188558</v>
      </c>
    </row>
    <row r="152" spans="1:13" x14ac:dyDescent="0.25">
      <c r="A152" s="1">
        <f t="shared" ca="1" si="5"/>
        <v>45999</v>
      </c>
      <c r="B152" cm="1">
        <f t="array" aca="1" ref="B152" ca="1">_xlfn.XLOOKUP(TEXT(A152, "mmm-yy"), TEXT([1]Monthly!$C:$C, "mmm-yy"), [1]Monthly!$O:$O, "Not Found")</f>
        <v>67.162889186041866</v>
      </c>
      <c r="C152" cm="1">
        <f t="array" aca="1" ref="C152" ca="1">_xlfn.XLOOKUP(TEXT(A152, "mmm-yy"), TEXT([1]Monthly!$C:$C, "mmm-yy"), [1]Monthly!$P:$P, "Not Found")</f>
        <v>67.186662869053364</v>
      </c>
      <c r="D152" cm="1">
        <f t="array" aca="1" ref="D152" ca="1">_xlfn.XLOOKUP(TEXT(A152, "mmm-yy"), TEXT([1]Monthly!$C:$C, "mmm-yy"), [1]Monthly!$R:$R, "Not Found")</f>
        <v>63.095939238773788</v>
      </c>
      <c r="E152" cm="1">
        <f t="array" aca="1" ref="E152" ca="1">_xlfn.XLOOKUP(TEXT(A152, "mmm-yy"), TEXT([1]Monthly!$C:$C, "mmm-yy"), [1]Monthly!$S:$S, "Not Found")</f>
        <v>73.832889186041868</v>
      </c>
      <c r="F152" cm="1">
        <f t="array" aca="1" ref="F152" ca="1">_xlfn.XLOOKUP(TEXT(A152, "mmm-yy"), TEXT([2]RUNS!$B$5:$B$208, "mmm-yy"), [2]RUNS!$D$5:$D$208, "Not Found")</f>
        <v>31461.620603388652</v>
      </c>
      <c r="G152">
        <f>AVERAGE([3]Sheet1!$H2374,[3]Sheet1!$H2636)</f>
        <v>15095.75</v>
      </c>
      <c r="H152">
        <f>AVERAGE([3]Sheet1!$I2374,[3]Sheet1!$I2636)</f>
        <v>0.81500000000000483</v>
      </c>
      <c r="I152" cm="1">
        <f t="array" aca="1" ref="I152" ca="1">_xlfn.XLOOKUP(TEXT(A152, "mmm-yy"), TEXT([2]GASOLINE!$B$5:$B$208, "mmm-yy"), [2]GASOLINE!$IR$5:$IR$208, "Not Found")</f>
        <v>-209.33802900108475</v>
      </c>
      <c r="J152" cm="1">
        <f t="array" aca="1" ref="J152" ca="1">_xlfn.XLOOKUP(TEXT(A152, "mmm-yy"), TEXT([2]GASOLINE!$B$5:$B$208, "mmm-yy"), [2]GASOLINE!$IK$5:$IK$208, "Not Found")</f>
        <v>332.47424667604156</v>
      </c>
      <c r="K152">
        <f t="shared" ca="1" si="4"/>
        <v>0</v>
      </c>
      <c r="L152" cm="1">
        <f t="array" aca="1" ref="L152" ca="1">_xlfn.XLOOKUP(TEXT(A152, "mmm-yy"), TEXT([2]GASOLINE!$B$5:$B$208, "mmm-yy"), [2]GASOLINE!$C$5:$C$208, "Not Found")</f>
        <v>7822.3911552204609</v>
      </c>
      <c r="M152" cm="1">
        <f t="array" aca="1" ref="M152" ca="1">_xlfn.XLOOKUP(TEXT(A152, "mmm-yy"), TEXT([2]RUNS!$B$5:$B$208, "mmm-yy"), [2]RUNS!$BM$5:$BM$208, "Not Found")</f>
        <v>0.84192666044188558</v>
      </c>
    </row>
    <row r="153" spans="1:13" x14ac:dyDescent="0.25">
      <c r="A153" s="1">
        <f t="shared" ca="1" si="5"/>
        <v>46000</v>
      </c>
      <c r="B153" cm="1">
        <f t="array" aca="1" ref="B153" ca="1">_xlfn.XLOOKUP(TEXT(A153, "mmm-yy"), TEXT([1]Monthly!$C:$C, "mmm-yy"), [1]Monthly!$O:$O, "Not Found")</f>
        <v>67.162889186041866</v>
      </c>
      <c r="C153" cm="1">
        <f t="array" aca="1" ref="C153" ca="1">_xlfn.XLOOKUP(TEXT(A153, "mmm-yy"), TEXT([1]Monthly!$C:$C, "mmm-yy"), [1]Monthly!$P:$P, "Not Found")</f>
        <v>67.186662869053364</v>
      </c>
      <c r="D153" cm="1">
        <f t="array" aca="1" ref="D153" ca="1">_xlfn.XLOOKUP(TEXT(A153, "mmm-yy"), TEXT([1]Monthly!$C:$C, "mmm-yy"), [1]Monthly!$R:$R, "Not Found")</f>
        <v>63.095939238773788</v>
      </c>
      <c r="E153" cm="1">
        <f t="array" aca="1" ref="E153" ca="1">_xlfn.XLOOKUP(TEXT(A153, "mmm-yy"), TEXT([1]Monthly!$C:$C, "mmm-yy"), [1]Monthly!$S:$S, "Not Found")</f>
        <v>73.832889186041868</v>
      </c>
      <c r="F153" cm="1">
        <f t="array" aca="1" ref="F153" ca="1">_xlfn.XLOOKUP(TEXT(A153, "mmm-yy"), TEXT([2]RUNS!$B$5:$B$208, "mmm-yy"), [2]RUNS!$D$5:$D$208, "Not Found")</f>
        <v>31461.620603388652</v>
      </c>
      <c r="G153">
        <f>AVERAGE([3]Sheet1!$H2375,[3]Sheet1!$H2637)</f>
        <v>15095.75</v>
      </c>
      <c r="H153">
        <f>AVERAGE([3]Sheet1!$I2375,[3]Sheet1!$I2637)</f>
        <v>0.77999999999999403</v>
      </c>
      <c r="I153" cm="1">
        <f t="array" aca="1" ref="I153" ca="1">_xlfn.XLOOKUP(TEXT(A153, "mmm-yy"), TEXT([2]GASOLINE!$B$5:$B$208, "mmm-yy"), [2]GASOLINE!$IR$5:$IR$208, "Not Found")</f>
        <v>-209.33802900108475</v>
      </c>
      <c r="J153" cm="1">
        <f t="array" aca="1" ref="J153" ca="1">_xlfn.XLOOKUP(TEXT(A153, "mmm-yy"), TEXT([2]GASOLINE!$B$5:$B$208, "mmm-yy"), [2]GASOLINE!$IK$5:$IK$208, "Not Found")</f>
        <v>332.47424667604156</v>
      </c>
      <c r="K153">
        <f t="shared" ca="1" si="4"/>
        <v>0</v>
      </c>
      <c r="L153" cm="1">
        <f t="array" aca="1" ref="L153" ca="1">_xlfn.XLOOKUP(TEXT(A153, "mmm-yy"), TEXT([2]GASOLINE!$B$5:$B$208, "mmm-yy"), [2]GASOLINE!$C$5:$C$208, "Not Found")</f>
        <v>7822.3911552204609</v>
      </c>
      <c r="M153" cm="1">
        <f t="array" aca="1" ref="M153" ca="1">_xlfn.XLOOKUP(TEXT(A153, "mmm-yy"), TEXT([2]RUNS!$B$5:$B$208, "mmm-yy"), [2]RUNS!$BM$5:$BM$208, "Not Found")</f>
        <v>0.84192666044188558</v>
      </c>
    </row>
    <row r="154" spans="1:13" x14ac:dyDescent="0.25">
      <c r="A154" s="1">
        <f t="shared" ca="1" si="5"/>
        <v>46001</v>
      </c>
      <c r="B154" cm="1">
        <f t="array" aca="1" ref="B154" ca="1">_xlfn.XLOOKUP(TEXT(A154, "mmm-yy"), TEXT([1]Monthly!$C:$C, "mmm-yy"), [1]Monthly!$O:$O, "Not Found")</f>
        <v>67.162889186041866</v>
      </c>
      <c r="C154" cm="1">
        <f t="array" aca="1" ref="C154" ca="1">_xlfn.XLOOKUP(TEXT(A154, "mmm-yy"), TEXT([1]Monthly!$C:$C, "mmm-yy"), [1]Monthly!$P:$P, "Not Found")</f>
        <v>67.186662869053364</v>
      </c>
      <c r="D154" cm="1">
        <f t="array" aca="1" ref="D154" ca="1">_xlfn.XLOOKUP(TEXT(A154, "mmm-yy"), TEXT([1]Monthly!$C:$C, "mmm-yy"), [1]Monthly!$R:$R, "Not Found")</f>
        <v>63.095939238773788</v>
      </c>
      <c r="E154" cm="1">
        <f t="array" aca="1" ref="E154" ca="1">_xlfn.XLOOKUP(TEXT(A154, "mmm-yy"), TEXT([1]Monthly!$C:$C, "mmm-yy"), [1]Monthly!$S:$S, "Not Found")</f>
        <v>73.832889186041868</v>
      </c>
      <c r="F154" cm="1">
        <f t="array" aca="1" ref="F154" ca="1">_xlfn.XLOOKUP(TEXT(A154, "mmm-yy"), TEXT([2]RUNS!$B$5:$B$208, "mmm-yy"), [2]RUNS!$D$5:$D$208, "Not Found")</f>
        <v>31461.620603388652</v>
      </c>
      <c r="G154">
        <f>AVERAGE([3]Sheet1!$H2376,[3]Sheet1!$H2638)</f>
        <v>15095.75</v>
      </c>
      <c r="H154">
        <f>AVERAGE([3]Sheet1!$I2376,[3]Sheet1!$I2638)</f>
        <v>0.78999999999999915</v>
      </c>
      <c r="I154" cm="1">
        <f t="array" aca="1" ref="I154" ca="1">_xlfn.XLOOKUP(TEXT(A154, "mmm-yy"), TEXT([2]GASOLINE!$B$5:$B$208, "mmm-yy"), [2]GASOLINE!$IR$5:$IR$208, "Not Found")</f>
        <v>-209.33802900108475</v>
      </c>
      <c r="J154" cm="1">
        <f t="array" aca="1" ref="J154" ca="1">_xlfn.XLOOKUP(TEXT(A154, "mmm-yy"), TEXT([2]GASOLINE!$B$5:$B$208, "mmm-yy"), [2]GASOLINE!$IK$5:$IK$208, "Not Found")</f>
        <v>332.47424667604156</v>
      </c>
      <c r="K154">
        <f t="shared" ca="1" si="4"/>
        <v>0</v>
      </c>
      <c r="L154" cm="1">
        <f t="array" aca="1" ref="L154" ca="1">_xlfn.XLOOKUP(TEXT(A154, "mmm-yy"), TEXT([2]GASOLINE!$B$5:$B$208, "mmm-yy"), [2]GASOLINE!$C$5:$C$208, "Not Found")</f>
        <v>7822.3911552204609</v>
      </c>
      <c r="M154" cm="1">
        <f t="array" aca="1" ref="M154" ca="1">_xlfn.XLOOKUP(TEXT(A154, "mmm-yy"), TEXT([2]RUNS!$B$5:$B$208, "mmm-yy"), [2]RUNS!$BM$5:$BM$208, "Not Found")</f>
        <v>0.84192666044188558</v>
      </c>
    </row>
    <row r="155" spans="1:13" x14ac:dyDescent="0.25">
      <c r="A155" s="1">
        <f t="shared" ca="1" si="5"/>
        <v>46002</v>
      </c>
      <c r="B155" cm="1">
        <f t="array" aca="1" ref="B155" ca="1">_xlfn.XLOOKUP(TEXT(A155, "mmm-yy"), TEXT([1]Monthly!$C:$C, "mmm-yy"), [1]Monthly!$O:$O, "Not Found")</f>
        <v>67.162889186041866</v>
      </c>
      <c r="C155" cm="1">
        <f t="array" aca="1" ref="C155" ca="1">_xlfn.XLOOKUP(TEXT(A155, "mmm-yy"), TEXT([1]Monthly!$C:$C, "mmm-yy"), [1]Monthly!$P:$P, "Not Found")</f>
        <v>67.186662869053364</v>
      </c>
      <c r="D155" cm="1">
        <f t="array" aca="1" ref="D155" ca="1">_xlfn.XLOOKUP(TEXT(A155, "mmm-yy"), TEXT([1]Monthly!$C:$C, "mmm-yy"), [1]Monthly!$R:$R, "Not Found")</f>
        <v>63.095939238773788</v>
      </c>
      <c r="E155" cm="1">
        <f t="array" aca="1" ref="E155" ca="1">_xlfn.XLOOKUP(TEXT(A155, "mmm-yy"), TEXT([1]Monthly!$C:$C, "mmm-yy"), [1]Monthly!$S:$S, "Not Found")</f>
        <v>73.832889186041868</v>
      </c>
      <c r="F155" cm="1">
        <f t="array" aca="1" ref="F155" ca="1">_xlfn.XLOOKUP(TEXT(A155, "mmm-yy"), TEXT([2]RUNS!$B$5:$B$208, "mmm-yy"), [2]RUNS!$D$5:$D$208, "Not Found")</f>
        <v>31461.620603388652</v>
      </c>
      <c r="G155">
        <f>AVERAGE([3]Sheet1!$H2377,[3]Sheet1!$H2639)</f>
        <v>15095.75</v>
      </c>
      <c r="H155">
        <f>AVERAGE([3]Sheet1!$I2377,[3]Sheet1!$I2639)</f>
        <v>0.94500000000000028</v>
      </c>
      <c r="I155" cm="1">
        <f t="array" aca="1" ref="I155" ca="1">_xlfn.XLOOKUP(TEXT(A155, "mmm-yy"), TEXT([2]GASOLINE!$B$5:$B$208, "mmm-yy"), [2]GASOLINE!$IR$5:$IR$208, "Not Found")</f>
        <v>-209.33802900108475</v>
      </c>
      <c r="J155" cm="1">
        <f t="array" aca="1" ref="J155" ca="1">_xlfn.XLOOKUP(TEXT(A155, "mmm-yy"), TEXT([2]GASOLINE!$B$5:$B$208, "mmm-yy"), [2]GASOLINE!$IK$5:$IK$208, "Not Found")</f>
        <v>332.47424667604156</v>
      </c>
      <c r="K155">
        <f t="shared" ca="1" si="4"/>
        <v>0</v>
      </c>
      <c r="L155" cm="1">
        <f t="array" aca="1" ref="L155" ca="1">_xlfn.XLOOKUP(TEXT(A155, "mmm-yy"), TEXT([2]GASOLINE!$B$5:$B$208, "mmm-yy"), [2]GASOLINE!$C$5:$C$208, "Not Found")</f>
        <v>7822.3911552204609</v>
      </c>
      <c r="M155" cm="1">
        <f t="array" aca="1" ref="M155" ca="1">_xlfn.XLOOKUP(TEXT(A155, "mmm-yy"), TEXT([2]RUNS!$B$5:$B$208, "mmm-yy"), [2]RUNS!$BM$5:$BM$208, "Not Found")</f>
        <v>0.84192666044188558</v>
      </c>
    </row>
    <row r="156" spans="1:13" x14ac:dyDescent="0.25">
      <c r="A156" s="1">
        <f t="shared" ca="1" si="5"/>
        <v>46003</v>
      </c>
      <c r="B156" cm="1">
        <f t="array" aca="1" ref="B156" ca="1">_xlfn.XLOOKUP(TEXT(A156, "mmm-yy"), TEXT([1]Monthly!$C:$C, "mmm-yy"), [1]Monthly!$O:$O, "Not Found")</f>
        <v>67.162889186041866</v>
      </c>
      <c r="C156" cm="1">
        <f t="array" aca="1" ref="C156" ca="1">_xlfn.XLOOKUP(TEXT(A156, "mmm-yy"), TEXT([1]Monthly!$C:$C, "mmm-yy"), [1]Monthly!$P:$P, "Not Found")</f>
        <v>67.186662869053364</v>
      </c>
      <c r="D156" cm="1">
        <f t="array" aca="1" ref="D156" ca="1">_xlfn.XLOOKUP(TEXT(A156, "mmm-yy"), TEXT([1]Monthly!$C:$C, "mmm-yy"), [1]Monthly!$R:$R, "Not Found")</f>
        <v>63.095939238773788</v>
      </c>
      <c r="E156" cm="1">
        <f t="array" aca="1" ref="E156" ca="1">_xlfn.XLOOKUP(TEXT(A156, "mmm-yy"), TEXT([1]Monthly!$C:$C, "mmm-yy"), [1]Monthly!$S:$S, "Not Found")</f>
        <v>73.832889186041868</v>
      </c>
      <c r="F156" cm="1">
        <f t="array" aca="1" ref="F156" ca="1">_xlfn.XLOOKUP(TEXT(A156, "mmm-yy"), TEXT([2]RUNS!$B$5:$B$208, "mmm-yy"), [2]RUNS!$D$5:$D$208, "Not Found")</f>
        <v>31461.620603388652</v>
      </c>
      <c r="G156">
        <f>AVERAGE([3]Sheet1!$H2378,[3]Sheet1!$H2640)</f>
        <v>15095.75</v>
      </c>
      <c r="H156">
        <f>AVERAGE([3]Sheet1!$I2378,[3]Sheet1!$I2640)</f>
        <v>0.96499999999999631</v>
      </c>
      <c r="I156" cm="1">
        <f t="array" aca="1" ref="I156" ca="1">_xlfn.XLOOKUP(TEXT(A156, "mmm-yy"), TEXT([2]GASOLINE!$B$5:$B$208, "mmm-yy"), [2]GASOLINE!$IR$5:$IR$208, "Not Found")</f>
        <v>-209.33802900108475</v>
      </c>
      <c r="J156" cm="1">
        <f t="array" aca="1" ref="J156" ca="1">_xlfn.XLOOKUP(TEXT(A156, "mmm-yy"), TEXT([2]GASOLINE!$B$5:$B$208, "mmm-yy"), [2]GASOLINE!$IK$5:$IK$208, "Not Found")</f>
        <v>332.47424667604156</v>
      </c>
      <c r="K156">
        <f t="shared" ca="1" si="4"/>
        <v>0</v>
      </c>
      <c r="L156" cm="1">
        <f t="array" aca="1" ref="L156" ca="1">_xlfn.XLOOKUP(TEXT(A156, "mmm-yy"), TEXT([2]GASOLINE!$B$5:$B$208, "mmm-yy"), [2]GASOLINE!$C$5:$C$208, "Not Found")</f>
        <v>7822.3911552204609</v>
      </c>
      <c r="M156" cm="1">
        <f t="array" aca="1" ref="M156" ca="1">_xlfn.XLOOKUP(TEXT(A156, "mmm-yy"), TEXT([2]RUNS!$B$5:$B$208, "mmm-yy"), [2]RUNS!$BM$5:$BM$208, "Not Found")</f>
        <v>0.84192666044188558</v>
      </c>
    </row>
    <row r="157" spans="1:13" x14ac:dyDescent="0.25">
      <c r="A157" s="1">
        <f t="shared" ca="1" si="5"/>
        <v>46004</v>
      </c>
      <c r="B157" cm="1">
        <f t="array" aca="1" ref="B157" ca="1">_xlfn.XLOOKUP(TEXT(A157, "mmm-yy"), TEXT([1]Monthly!$C:$C, "mmm-yy"), [1]Monthly!$O:$O, "Not Found")</f>
        <v>67.162889186041866</v>
      </c>
      <c r="C157" cm="1">
        <f t="array" aca="1" ref="C157" ca="1">_xlfn.XLOOKUP(TEXT(A157, "mmm-yy"), TEXT([1]Monthly!$C:$C, "mmm-yy"), [1]Monthly!$P:$P, "Not Found")</f>
        <v>67.186662869053364</v>
      </c>
      <c r="D157" cm="1">
        <f t="array" aca="1" ref="D157" ca="1">_xlfn.XLOOKUP(TEXT(A157, "mmm-yy"), TEXT([1]Monthly!$C:$C, "mmm-yy"), [1]Monthly!$R:$R, "Not Found")</f>
        <v>63.095939238773788</v>
      </c>
      <c r="E157" cm="1">
        <f t="array" aca="1" ref="E157" ca="1">_xlfn.XLOOKUP(TEXT(A157, "mmm-yy"), TEXT([1]Monthly!$C:$C, "mmm-yy"), [1]Monthly!$S:$S, "Not Found")</f>
        <v>73.832889186041868</v>
      </c>
      <c r="F157" cm="1">
        <f t="array" aca="1" ref="F157" ca="1">_xlfn.XLOOKUP(TEXT(A157, "mmm-yy"), TEXT([2]RUNS!$B$5:$B$208, "mmm-yy"), [2]RUNS!$D$5:$D$208, "Not Found")</f>
        <v>31461.620603388652</v>
      </c>
      <c r="G157">
        <f>AVERAGE([3]Sheet1!$H2379,[3]Sheet1!$H2641)</f>
        <v>15095.75</v>
      </c>
      <c r="H157">
        <f>AVERAGE([3]Sheet1!$I2379,[3]Sheet1!$I2641)</f>
        <v>0.99000000000000199</v>
      </c>
      <c r="I157" cm="1">
        <f t="array" aca="1" ref="I157" ca="1">_xlfn.XLOOKUP(TEXT(A157, "mmm-yy"), TEXT([2]GASOLINE!$B$5:$B$208, "mmm-yy"), [2]GASOLINE!$IR$5:$IR$208, "Not Found")</f>
        <v>-209.33802900108475</v>
      </c>
      <c r="J157" cm="1">
        <f t="array" aca="1" ref="J157" ca="1">_xlfn.XLOOKUP(TEXT(A157, "mmm-yy"), TEXT([2]GASOLINE!$B$5:$B$208, "mmm-yy"), [2]GASOLINE!$IK$5:$IK$208, "Not Found")</f>
        <v>332.47424667604156</v>
      </c>
      <c r="K157">
        <f t="shared" ca="1" si="4"/>
        <v>0</v>
      </c>
      <c r="L157" cm="1">
        <f t="array" aca="1" ref="L157" ca="1">_xlfn.XLOOKUP(TEXT(A157, "mmm-yy"), TEXT([2]GASOLINE!$B$5:$B$208, "mmm-yy"), [2]GASOLINE!$C$5:$C$208, "Not Found")</f>
        <v>7822.3911552204609</v>
      </c>
      <c r="M157" cm="1">
        <f t="array" aca="1" ref="M157" ca="1">_xlfn.XLOOKUP(TEXT(A157, "mmm-yy"), TEXT([2]RUNS!$B$5:$B$208, "mmm-yy"), [2]RUNS!$BM$5:$BM$208, "Not Found")</f>
        <v>0.84192666044188558</v>
      </c>
    </row>
    <row r="158" spans="1:13" x14ac:dyDescent="0.25">
      <c r="A158" s="1">
        <f t="shared" ca="1" si="5"/>
        <v>46005</v>
      </c>
      <c r="B158" cm="1">
        <f t="array" aca="1" ref="B158" ca="1">_xlfn.XLOOKUP(TEXT(A158, "mmm-yy"), TEXT([1]Monthly!$C:$C, "mmm-yy"), [1]Monthly!$O:$O, "Not Found")</f>
        <v>67.162889186041866</v>
      </c>
      <c r="C158" cm="1">
        <f t="array" aca="1" ref="C158" ca="1">_xlfn.XLOOKUP(TEXT(A158, "mmm-yy"), TEXT([1]Monthly!$C:$C, "mmm-yy"), [1]Monthly!$P:$P, "Not Found")</f>
        <v>67.186662869053364</v>
      </c>
      <c r="D158" cm="1">
        <f t="array" aca="1" ref="D158" ca="1">_xlfn.XLOOKUP(TEXT(A158, "mmm-yy"), TEXT([1]Monthly!$C:$C, "mmm-yy"), [1]Monthly!$R:$R, "Not Found")</f>
        <v>63.095939238773788</v>
      </c>
      <c r="E158" cm="1">
        <f t="array" aca="1" ref="E158" ca="1">_xlfn.XLOOKUP(TEXT(A158, "mmm-yy"), TEXT([1]Monthly!$C:$C, "mmm-yy"), [1]Monthly!$S:$S, "Not Found")</f>
        <v>73.832889186041868</v>
      </c>
      <c r="F158" cm="1">
        <f t="array" aca="1" ref="F158" ca="1">_xlfn.XLOOKUP(TEXT(A158, "mmm-yy"), TEXT([2]RUNS!$B$5:$B$208, "mmm-yy"), [2]RUNS!$D$5:$D$208, "Not Found")</f>
        <v>31461.620603388652</v>
      </c>
      <c r="G158">
        <f>AVERAGE([3]Sheet1!$H2380,[3]Sheet1!$H2642)</f>
        <v>15095.75</v>
      </c>
      <c r="H158">
        <f>AVERAGE([3]Sheet1!$I2380,[3]Sheet1!$I2642)</f>
        <v>1.009999999999998</v>
      </c>
      <c r="I158" cm="1">
        <f t="array" aca="1" ref="I158" ca="1">_xlfn.XLOOKUP(TEXT(A158, "mmm-yy"), TEXT([2]GASOLINE!$B$5:$B$208, "mmm-yy"), [2]GASOLINE!$IR$5:$IR$208, "Not Found")</f>
        <v>-209.33802900108475</v>
      </c>
      <c r="J158" cm="1">
        <f t="array" aca="1" ref="J158" ca="1">_xlfn.XLOOKUP(TEXT(A158, "mmm-yy"), TEXT([2]GASOLINE!$B$5:$B$208, "mmm-yy"), [2]GASOLINE!$IK$5:$IK$208, "Not Found")</f>
        <v>332.47424667604156</v>
      </c>
      <c r="K158">
        <f t="shared" ca="1" si="4"/>
        <v>0</v>
      </c>
      <c r="L158" cm="1">
        <f t="array" aca="1" ref="L158" ca="1">_xlfn.XLOOKUP(TEXT(A158, "mmm-yy"), TEXT([2]GASOLINE!$B$5:$B$208, "mmm-yy"), [2]GASOLINE!$C$5:$C$208, "Not Found")</f>
        <v>7822.3911552204609</v>
      </c>
      <c r="M158" cm="1">
        <f t="array" aca="1" ref="M158" ca="1">_xlfn.XLOOKUP(TEXT(A158, "mmm-yy"), TEXT([2]RUNS!$B$5:$B$208, "mmm-yy"), [2]RUNS!$BM$5:$BM$208, "Not Found")</f>
        <v>0.84192666044188558</v>
      </c>
    </row>
    <row r="159" spans="1:13" x14ac:dyDescent="0.25">
      <c r="A159" s="1">
        <f t="shared" ca="1" si="5"/>
        <v>46006</v>
      </c>
      <c r="B159" cm="1">
        <f t="array" aca="1" ref="B159" ca="1">_xlfn.XLOOKUP(TEXT(A159, "mmm-yy"), TEXT([1]Monthly!$C:$C, "mmm-yy"), [1]Monthly!$O:$O, "Not Found")</f>
        <v>67.162889186041866</v>
      </c>
      <c r="C159" cm="1">
        <f t="array" aca="1" ref="C159" ca="1">_xlfn.XLOOKUP(TEXT(A159, "mmm-yy"), TEXT([1]Monthly!$C:$C, "mmm-yy"), [1]Monthly!$P:$P, "Not Found")</f>
        <v>67.186662869053364</v>
      </c>
      <c r="D159" cm="1">
        <f t="array" aca="1" ref="D159" ca="1">_xlfn.XLOOKUP(TEXT(A159, "mmm-yy"), TEXT([1]Monthly!$C:$C, "mmm-yy"), [1]Monthly!$R:$R, "Not Found")</f>
        <v>63.095939238773788</v>
      </c>
      <c r="E159" cm="1">
        <f t="array" aca="1" ref="E159" ca="1">_xlfn.XLOOKUP(TEXT(A159, "mmm-yy"), TEXT([1]Monthly!$C:$C, "mmm-yy"), [1]Monthly!$S:$S, "Not Found")</f>
        <v>73.832889186041868</v>
      </c>
      <c r="F159" cm="1">
        <f t="array" aca="1" ref="F159" ca="1">_xlfn.XLOOKUP(TEXT(A159, "mmm-yy"), TEXT([2]RUNS!$B$5:$B$208, "mmm-yy"), [2]RUNS!$D$5:$D$208, "Not Found")</f>
        <v>31461.620603388652</v>
      </c>
      <c r="G159">
        <f>AVERAGE([3]Sheet1!$H2381,[3]Sheet1!$H2643)</f>
        <v>15095.75</v>
      </c>
      <c r="H159">
        <f>AVERAGE([3]Sheet1!$I2381,[3]Sheet1!$I2643)</f>
        <v>0.97499999999999432</v>
      </c>
      <c r="I159" cm="1">
        <f t="array" aca="1" ref="I159" ca="1">_xlfn.XLOOKUP(TEXT(A159, "mmm-yy"), TEXT([2]GASOLINE!$B$5:$B$208, "mmm-yy"), [2]GASOLINE!$IR$5:$IR$208, "Not Found")</f>
        <v>-209.33802900108475</v>
      </c>
      <c r="J159" cm="1">
        <f t="array" aca="1" ref="J159" ca="1">_xlfn.XLOOKUP(TEXT(A159, "mmm-yy"), TEXT([2]GASOLINE!$B$5:$B$208, "mmm-yy"), [2]GASOLINE!$IK$5:$IK$208, "Not Found")</f>
        <v>332.47424667604156</v>
      </c>
      <c r="K159">
        <f t="shared" ca="1" si="4"/>
        <v>0</v>
      </c>
      <c r="L159" cm="1">
        <f t="array" aca="1" ref="L159" ca="1">_xlfn.XLOOKUP(TEXT(A159, "mmm-yy"), TEXT([2]GASOLINE!$B$5:$B$208, "mmm-yy"), [2]GASOLINE!$C$5:$C$208, "Not Found")</f>
        <v>7822.3911552204609</v>
      </c>
      <c r="M159" cm="1">
        <f t="array" aca="1" ref="M159" ca="1">_xlfn.XLOOKUP(TEXT(A159, "mmm-yy"), TEXT([2]RUNS!$B$5:$B$208, "mmm-yy"), [2]RUNS!$BM$5:$BM$208, "Not Found")</f>
        <v>0.84192666044188558</v>
      </c>
    </row>
    <row r="160" spans="1:13" x14ac:dyDescent="0.25">
      <c r="A160" s="1">
        <f t="shared" ca="1" si="5"/>
        <v>46007</v>
      </c>
      <c r="B160" cm="1">
        <f t="array" aca="1" ref="B160" ca="1">_xlfn.XLOOKUP(TEXT(A160, "mmm-yy"), TEXT([1]Monthly!$C:$C, "mmm-yy"), [1]Monthly!$O:$O, "Not Found")</f>
        <v>67.162889186041866</v>
      </c>
      <c r="C160" cm="1">
        <f t="array" aca="1" ref="C160" ca="1">_xlfn.XLOOKUP(TEXT(A160, "mmm-yy"), TEXT([1]Monthly!$C:$C, "mmm-yy"), [1]Monthly!$P:$P, "Not Found")</f>
        <v>67.186662869053364</v>
      </c>
      <c r="D160" cm="1">
        <f t="array" aca="1" ref="D160" ca="1">_xlfn.XLOOKUP(TEXT(A160, "mmm-yy"), TEXT([1]Monthly!$C:$C, "mmm-yy"), [1]Monthly!$R:$R, "Not Found")</f>
        <v>63.095939238773788</v>
      </c>
      <c r="E160" cm="1">
        <f t="array" aca="1" ref="E160" ca="1">_xlfn.XLOOKUP(TEXT(A160, "mmm-yy"), TEXT([1]Monthly!$C:$C, "mmm-yy"), [1]Monthly!$S:$S, "Not Found")</f>
        <v>73.832889186041868</v>
      </c>
      <c r="F160" cm="1">
        <f t="array" aca="1" ref="F160" ca="1">_xlfn.XLOOKUP(TEXT(A160, "mmm-yy"), TEXT([2]RUNS!$B$5:$B$208, "mmm-yy"), [2]RUNS!$D$5:$D$208, "Not Found")</f>
        <v>31461.620603388652</v>
      </c>
      <c r="G160">
        <f>AVERAGE([3]Sheet1!$H2382,[3]Sheet1!$H2644)</f>
        <v>15095.75</v>
      </c>
      <c r="H160">
        <f>AVERAGE([3]Sheet1!$I2382,[3]Sheet1!$I2644)</f>
        <v>0.9199999999999946</v>
      </c>
      <c r="I160" cm="1">
        <f t="array" aca="1" ref="I160" ca="1">_xlfn.XLOOKUP(TEXT(A160, "mmm-yy"), TEXT([2]GASOLINE!$B$5:$B$208, "mmm-yy"), [2]GASOLINE!$IR$5:$IR$208, "Not Found")</f>
        <v>-209.33802900108475</v>
      </c>
      <c r="J160" cm="1">
        <f t="array" aca="1" ref="J160" ca="1">_xlfn.XLOOKUP(TEXT(A160, "mmm-yy"), TEXT([2]GASOLINE!$B$5:$B$208, "mmm-yy"), [2]GASOLINE!$IK$5:$IK$208, "Not Found")</f>
        <v>332.47424667604156</v>
      </c>
      <c r="K160">
        <f t="shared" ca="1" si="4"/>
        <v>0</v>
      </c>
      <c r="L160" cm="1">
        <f t="array" aca="1" ref="L160" ca="1">_xlfn.XLOOKUP(TEXT(A160, "mmm-yy"), TEXT([2]GASOLINE!$B$5:$B$208, "mmm-yy"), [2]GASOLINE!$C$5:$C$208, "Not Found")</f>
        <v>7822.3911552204609</v>
      </c>
      <c r="M160" cm="1">
        <f t="array" aca="1" ref="M160" ca="1">_xlfn.XLOOKUP(TEXT(A160, "mmm-yy"), TEXT([2]RUNS!$B$5:$B$208, "mmm-yy"), [2]RUNS!$BM$5:$BM$208, "Not Found")</f>
        <v>0.84192666044188558</v>
      </c>
    </row>
    <row r="161" spans="1:13" x14ac:dyDescent="0.25">
      <c r="A161" s="1">
        <f t="shared" ca="1" si="5"/>
        <v>46008</v>
      </c>
      <c r="B161" cm="1">
        <f t="array" aca="1" ref="B161" ca="1">_xlfn.XLOOKUP(TEXT(A161, "mmm-yy"), TEXT([1]Monthly!$C:$C, "mmm-yy"), [1]Monthly!$O:$O, "Not Found")</f>
        <v>67.162889186041866</v>
      </c>
      <c r="C161" cm="1">
        <f t="array" aca="1" ref="C161" ca="1">_xlfn.XLOOKUP(TEXT(A161, "mmm-yy"), TEXT([1]Monthly!$C:$C, "mmm-yy"), [1]Monthly!$P:$P, "Not Found")</f>
        <v>67.186662869053364</v>
      </c>
      <c r="D161" cm="1">
        <f t="array" aca="1" ref="D161" ca="1">_xlfn.XLOOKUP(TEXT(A161, "mmm-yy"), TEXT([1]Monthly!$C:$C, "mmm-yy"), [1]Monthly!$R:$R, "Not Found")</f>
        <v>63.095939238773788</v>
      </c>
      <c r="E161" cm="1">
        <f t="array" aca="1" ref="E161" ca="1">_xlfn.XLOOKUP(TEXT(A161, "mmm-yy"), TEXT([1]Monthly!$C:$C, "mmm-yy"), [1]Monthly!$S:$S, "Not Found")</f>
        <v>73.832889186041868</v>
      </c>
      <c r="F161" cm="1">
        <f t="array" aca="1" ref="F161" ca="1">_xlfn.XLOOKUP(TEXT(A161, "mmm-yy"), TEXT([2]RUNS!$B$5:$B$208, "mmm-yy"), [2]RUNS!$D$5:$D$208, "Not Found")</f>
        <v>31461.620603388652</v>
      </c>
      <c r="G161">
        <f>AVERAGE([3]Sheet1!$H2383,[3]Sheet1!$H2645)</f>
        <v>15095.75</v>
      </c>
      <c r="H161">
        <f>AVERAGE([3]Sheet1!$I2383,[3]Sheet1!$I2645)</f>
        <v>0.79500000000000881</v>
      </c>
      <c r="I161" cm="1">
        <f t="array" aca="1" ref="I161" ca="1">_xlfn.XLOOKUP(TEXT(A161, "mmm-yy"), TEXT([2]GASOLINE!$B$5:$B$208, "mmm-yy"), [2]GASOLINE!$IR$5:$IR$208, "Not Found")</f>
        <v>-209.33802900108475</v>
      </c>
      <c r="J161" cm="1">
        <f t="array" aca="1" ref="J161" ca="1">_xlfn.XLOOKUP(TEXT(A161, "mmm-yy"), TEXT([2]GASOLINE!$B$5:$B$208, "mmm-yy"), [2]GASOLINE!$IK$5:$IK$208, "Not Found")</f>
        <v>332.47424667604156</v>
      </c>
      <c r="K161">
        <f t="shared" ca="1" si="4"/>
        <v>0</v>
      </c>
      <c r="L161" cm="1">
        <f t="array" aca="1" ref="L161" ca="1">_xlfn.XLOOKUP(TEXT(A161, "mmm-yy"), TEXT([2]GASOLINE!$B$5:$B$208, "mmm-yy"), [2]GASOLINE!$C$5:$C$208, "Not Found")</f>
        <v>7822.3911552204609</v>
      </c>
      <c r="M161" cm="1">
        <f t="array" aca="1" ref="M161" ca="1">_xlfn.XLOOKUP(TEXT(A161, "mmm-yy"), TEXT([2]RUNS!$B$5:$B$208, "mmm-yy"), [2]RUNS!$BM$5:$BM$208, "Not Found")</f>
        <v>0.84192666044188558</v>
      </c>
    </row>
    <row r="162" spans="1:13" x14ac:dyDescent="0.25">
      <c r="A162" s="1">
        <f t="shared" ca="1" si="5"/>
        <v>46009</v>
      </c>
      <c r="B162" cm="1">
        <f t="array" aca="1" ref="B162" ca="1">_xlfn.XLOOKUP(TEXT(A162, "mmm-yy"), TEXT([1]Monthly!$C:$C, "mmm-yy"), [1]Monthly!$O:$O, "Not Found")</f>
        <v>67.162889186041866</v>
      </c>
      <c r="C162" cm="1">
        <f t="array" aca="1" ref="C162" ca="1">_xlfn.XLOOKUP(TEXT(A162, "mmm-yy"), TEXT([1]Monthly!$C:$C, "mmm-yy"), [1]Monthly!$P:$P, "Not Found")</f>
        <v>67.186662869053364</v>
      </c>
      <c r="D162" cm="1">
        <f t="array" aca="1" ref="D162" ca="1">_xlfn.XLOOKUP(TEXT(A162, "mmm-yy"), TEXT([1]Monthly!$C:$C, "mmm-yy"), [1]Monthly!$R:$R, "Not Found")</f>
        <v>63.095939238773788</v>
      </c>
      <c r="E162" cm="1">
        <f t="array" aca="1" ref="E162" ca="1">_xlfn.XLOOKUP(TEXT(A162, "mmm-yy"), TEXT([1]Monthly!$C:$C, "mmm-yy"), [1]Monthly!$S:$S, "Not Found")</f>
        <v>73.832889186041868</v>
      </c>
      <c r="F162" cm="1">
        <f t="array" aca="1" ref="F162" ca="1">_xlfn.XLOOKUP(TEXT(A162, "mmm-yy"), TEXT([2]RUNS!$B$5:$B$208, "mmm-yy"), [2]RUNS!$D$5:$D$208, "Not Found")</f>
        <v>31461.620603388652</v>
      </c>
      <c r="G162">
        <f>AVERAGE([3]Sheet1!$H2384,[3]Sheet1!$H2646)</f>
        <v>15095.75</v>
      </c>
      <c r="H162">
        <f>AVERAGE([3]Sheet1!$I2384,[3]Sheet1!$I2646)</f>
        <v>0.81000000000000227</v>
      </c>
      <c r="I162" cm="1">
        <f t="array" aca="1" ref="I162" ca="1">_xlfn.XLOOKUP(TEXT(A162, "mmm-yy"), TEXT([2]GASOLINE!$B$5:$B$208, "mmm-yy"), [2]GASOLINE!$IR$5:$IR$208, "Not Found")</f>
        <v>-209.33802900108475</v>
      </c>
      <c r="J162" cm="1">
        <f t="array" aca="1" ref="J162" ca="1">_xlfn.XLOOKUP(TEXT(A162, "mmm-yy"), TEXT([2]GASOLINE!$B$5:$B$208, "mmm-yy"), [2]GASOLINE!$IK$5:$IK$208, "Not Found")</f>
        <v>332.47424667604156</v>
      </c>
      <c r="K162">
        <f t="shared" ca="1" si="4"/>
        <v>0</v>
      </c>
      <c r="L162" cm="1">
        <f t="array" aca="1" ref="L162" ca="1">_xlfn.XLOOKUP(TEXT(A162, "mmm-yy"), TEXT([2]GASOLINE!$B$5:$B$208, "mmm-yy"), [2]GASOLINE!$C$5:$C$208, "Not Found")</f>
        <v>7822.3911552204609</v>
      </c>
      <c r="M162" cm="1">
        <f t="array" aca="1" ref="M162" ca="1">_xlfn.XLOOKUP(TEXT(A162, "mmm-yy"), TEXT([2]RUNS!$B$5:$B$208, "mmm-yy"), [2]RUNS!$BM$5:$BM$208, "Not Found")</f>
        <v>0.84192666044188558</v>
      </c>
    </row>
    <row r="163" spans="1:13" x14ac:dyDescent="0.25">
      <c r="A163" s="1">
        <f t="shared" ca="1" si="5"/>
        <v>46010</v>
      </c>
      <c r="B163" cm="1">
        <f t="array" aca="1" ref="B163" ca="1">_xlfn.XLOOKUP(TEXT(A163, "mmm-yy"), TEXT([1]Monthly!$C:$C, "mmm-yy"), [1]Monthly!$O:$O, "Not Found")</f>
        <v>67.162889186041866</v>
      </c>
      <c r="C163" cm="1">
        <f t="array" aca="1" ref="C163" ca="1">_xlfn.XLOOKUP(TEXT(A163, "mmm-yy"), TEXT([1]Monthly!$C:$C, "mmm-yy"), [1]Monthly!$P:$P, "Not Found")</f>
        <v>67.186662869053364</v>
      </c>
      <c r="D163" cm="1">
        <f t="array" aca="1" ref="D163" ca="1">_xlfn.XLOOKUP(TEXT(A163, "mmm-yy"), TEXT([1]Monthly!$C:$C, "mmm-yy"), [1]Monthly!$R:$R, "Not Found")</f>
        <v>63.095939238773788</v>
      </c>
      <c r="E163" cm="1">
        <f t="array" aca="1" ref="E163" ca="1">_xlfn.XLOOKUP(TEXT(A163, "mmm-yy"), TEXT([1]Monthly!$C:$C, "mmm-yy"), [1]Monthly!$S:$S, "Not Found")</f>
        <v>73.832889186041868</v>
      </c>
      <c r="F163" cm="1">
        <f t="array" aca="1" ref="F163" ca="1">_xlfn.XLOOKUP(TEXT(A163, "mmm-yy"), TEXT([2]RUNS!$B$5:$B$208, "mmm-yy"), [2]RUNS!$D$5:$D$208, "Not Found")</f>
        <v>31461.620603388652</v>
      </c>
      <c r="G163">
        <f>AVERAGE([3]Sheet1!$H2385,[3]Sheet1!$H2647)</f>
        <v>15095.75</v>
      </c>
      <c r="H163">
        <f>AVERAGE([3]Sheet1!$I2385,[3]Sheet1!$I2647)</f>
        <v>0.67999999999999972</v>
      </c>
      <c r="I163" cm="1">
        <f t="array" aca="1" ref="I163" ca="1">_xlfn.XLOOKUP(TEXT(A163, "mmm-yy"), TEXT([2]GASOLINE!$B$5:$B$208, "mmm-yy"), [2]GASOLINE!$IR$5:$IR$208, "Not Found")</f>
        <v>-209.33802900108475</v>
      </c>
      <c r="J163" cm="1">
        <f t="array" aca="1" ref="J163" ca="1">_xlfn.XLOOKUP(TEXT(A163, "mmm-yy"), TEXT([2]GASOLINE!$B$5:$B$208, "mmm-yy"), [2]GASOLINE!$IK$5:$IK$208, "Not Found")</f>
        <v>332.47424667604156</v>
      </c>
      <c r="K163">
        <f t="shared" ca="1" si="4"/>
        <v>0</v>
      </c>
      <c r="L163" cm="1">
        <f t="array" aca="1" ref="L163" ca="1">_xlfn.XLOOKUP(TEXT(A163, "mmm-yy"), TEXT([2]GASOLINE!$B$5:$B$208, "mmm-yy"), [2]GASOLINE!$C$5:$C$208, "Not Found")</f>
        <v>7822.3911552204609</v>
      </c>
      <c r="M163" cm="1">
        <f t="array" aca="1" ref="M163" ca="1">_xlfn.XLOOKUP(TEXT(A163, "mmm-yy"), TEXT([2]RUNS!$B$5:$B$208, "mmm-yy"), [2]RUNS!$BM$5:$BM$208, "Not Found")</f>
        <v>0.84192666044188558</v>
      </c>
    </row>
    <row r="164" spans="1:13" x14ac:dyDescent="0.25">
      <c r="A164" s="1">
        <f t="shared" ca="1" si="5"/>
        <v>46011</v>
      </c>
      <c r="B164" cm="1">
        <f t="array" aca="1" ref="B164" ca="1">_xlfn.XLOOKUP(TEXT(A164, "mmm-yy"), TEXT([1]Monthly!$C:$C, "mmm-yy"), [1]Monthly!$O:$O, "Not Found")</f>
        <v>67.162889186041866</v>
      </c>
      <c r="C164" cm="1">
        <f t="array" aca="1" ref="C164" ca="1">_xlfn.XLOOKUP(TEXT(A164, "mmm-yy"), TEXT([1]Monthly!$C:$C, "mmm-yy"), [1]Monthly!$P:$P, "Not Found")</f>
        <v>67.186662869053364</v>
      </c>
      <c r="D164" cm="1">
        <f t="array" aca="1" ref="D164" ca="1">_xlfn.XLOOKUP(TEXT(A164, "mmm-yy"), TEXT([1]Monthly!$C:$C, "mmm-yy"), [1]Monthly!$R:$R, "Not Found")</f>
        <v>63.095939238773788</v>
      </c>
      <c r="E164" cm="1">
        <f t="array" aca="1" ref="E164" ca="1">_xlfn.XLOOKUP(TEXT(A164, "mmm-yy"), TEXT([1]Monthly!$C:$C, "mmm-yy"), [1]Monthly!$S:$S, "Not Found")</f>
        <v>73.832889186041868</v>
      </c>
      <c r="F164" cm="1">
        <f t="array" aca="1" ref="F164" ca="1">_xlfn.XLOOKUP(TEXT(A164, "mmm-yy"), TEXT([2]RUNS!$B$5:$B$208, "mmm-yy"), [2]RUNS!$D$5:$D$208, "Not Found")</f>
        <v>31461.620603388652</v>
      </c>
      <c r="G164">
        <f>AVERAGE([3]Sheet1!$H2386,[3]Sheet1!$H2648)</f>
        <v>15095.75</v>
      </c>
      <c r="H164">
        <f>AVERAGE([3]Sheet1!$I2386,[3]Sheet1!$I2648)</f>
        <v>0.62500000000000711</v>
      </c>
      <c r="I164" cm="1">
        <f t="array" aca="1" ref="I164" ca="1">_xlfn.XLOOKUP(TEXT(A164, "mmm-yy"), TEXT([2]GASOLINE!$B$5:$B$208, "mmm-yy"), [2]GASOLINE!$IR$5:$IR$208, "Not Found")</f>
        <v>-209.33802900108475</v>
      </c>
      <c r="J164" cm="1">
        <f t="array" aca="1" ref="J164" ca="1">_xlfn.XLOOKUP(TEXT(A164, "mmm-yy"), TEXT([2]GASOLINE!$B$5:$B$208, "mmm-yy"), [2]GASOLINE!$IK$5:$IK$208, "Not Found")</f>
        <v>332.47424667604156</v>
      </c>
      <c r="K164">
        <f t="shared" ca="1" si="4"/>
        <v>0</v>
      </c>
      <c r="L164" cm="1">
        <f t="array" aca="1" ref="L164" ca="1">_xlfn.XLOOKUP(TEXT(A164, "mmm-yy"), TEXT([2]GASOLINE!$B$5:$B$208, "mmm-yy"), [2]GASOLINE!$C$5:$C$208, "Not Found")</f>
        <v>7822.3911552204609</v>
      </c>
      <c r="M164" cm="1">
        <f t="array" aca="1" ref="M164" ca="1">_xlfn.XLOOKUP(TEXT(A164, "mmm-yy"), TEXT([2]RUNS!$B$5:$B$208, "mmm-yy"), [2]RUNS!$BM$5:$BM$208, "Not Found")</f>
        <v>0.84192666044188558</v>
      </c>
    </row>
    <row r="165" spans="1:13" x14ac:dyDescent="0.25">
      <c r="A165" s="1">
        <f t="shared" ca="1" si="5"/>
        <v>46012</v>
      </c>
      <c r="B165" cm="1">
        <f t="array" aca="1" ref="B165" ca="1">_xlfn.XLOOKUP(TEXT(A165, "mmm-yy"), TEXT([1]Monthly!$C:$C, "mmm-yy"), [1]Monthly!$O:$O, "Not Found")</f>
        <v>67.162889186041866</v>
      </c>
      <c r="C165" cm="1">
        <f t="array" aca="1" ref="C165" ca="1">_xlfn.XLOOKUP(TEXT(A165, "mmm-yy"), TEXT([1]Monthly!$C:$C, "mmm-yy"), [1]Monthly!$P:$P, "Not Found")</f>
        <v>67.186662869053364</v>
      </c>
      <c r="D165" cm="1">
        <f t="array" aca="1" ref="D165" ca="1">_xlfn.XLOOKUP(TEXT(A165, "mmm-yy"), TEXT([1]Monthly!$C:$C, "mmm-yy"), [1]Monthly!$R:$R, "Not Found")</f>
        <v>63.095939238773788</v>
      </c>
      <c r="E165" cm="1">
        <f t="array" aca="1" ref="E165" ca="1">_xlfn.XLOOKUP(TEXT(A165, "mmm-yy"), TEXT([1]Monthly!$C:$C, "mmm-yy"), [1]Monthly!$S:$S, "Not Found")</f>
        <v>73.832889186041868</v>
      </c>
      <c r="F165" cm="1">
        <f t="array" aca="1" ref="F165" ca="1">_xlfn.XLOOKUP(TEXT(A165, "mmm-yy"), TEXT([2]RUNS!$B$5:$B$208, "mmm-yy"), [2]RUNS!$D$5:$D$208, "Not Found")</f>
        <v>31461.620603388652</v>
      </c>
      <c r="G165">
        <f>AVERAGE([3]Sheet1!$H2387,[3]Sheet1!$H2649)</f>
        <v>15095.75</v>
      </c>
      <c r="H165">
        <f>AVERAGE([3]Sheet1!$I2387,[3]Sheet1!$I2649)</f>
        <v>0.80999999999999517</v>
      </c>
      <c r="I165" cm="1">
        <f t="array" aca="1" ref="I165" ca="1">_xlfn.XLOOKUP(TEXT(A165, "mmm-yy"), TEXT([2]GASOLINE!$B$5:$B$208, "mmm-yy"), [2]GASOLINE!$IR$5:$IR$208, "Not Found")</f>
        <v>-209.33802900108475</v>
      </c>
      <c r="J165" cm="1">
        <f t="array" aca="1" ref="J165" ca="1">_xlfn.XLOOKUP(TEXT(A165, "mmm-yy"), TEXT([2]GASOLINE!$B$5:$B$208, "mmm-yy"), [2]GASOLINE!$IK$5:$IK$208, "Not Found")</f>
        <v>332.47424667604156</v>
      </c>
      <c r="K165">
        <f t="shared" ca="1" si="4"/>
        <v>0</v>
      </c>
      <c r="L165" cm="1">
        <f t="array" aca="1" ref="L165" ca="1">_xlfn.XLOOKUP(TEXT(A165, "mmm-yy"), TEXT([2]GASOLINE!$B$5:$B$208, "mmm-yy"), [2]GASOLINE!$C$5:$C$208, "Not Found")</f>
        <v>7822.3911552204609</v>
      </c>
      <c r="M165" cm="1">
        <f t="array" aca="1" ref="M165" ca="1">_xlfn.XLOOKUP(TEXT(A165, "mmm-yy"), TEXT([2]RUNS!$B$5:$B$208, "mmm-yy"), [2]RUNS!$BM$5:$BM$208, "Not Found")</f>
        <v>0.84192666044188558</v>
      </c>
    </row>
    <row r="166" spans="1:13" x14ac:dyDescent="0.25">
      <c r="A166" s="1">
        <f t="shared" ca="1" si="5"/>
        <v>46013</v>
      </c>
      <c r="B166" cm="1">
        <f t="array" aca="1" ref="B166" ca="1">_xlfn.XLOOKUP(TEXT(A166, "mmm-yy"), TEXT([1]Monthly!$C:$C, "mmm-yy"), [1]Monthly!$O:$O, "Not Found")</f>
        <v>67.162889186041866</v>
      </c>
      <c r="C166" cm="1">
        <f t="array" aca="1" ref="C166" ca="1">_xlfn.XLOOKUP(TEXT(A166, "mmm-yy"), TEXT([1]Monthly!$C:$C, "mmm-yy"), [1]Monthly!$P:$P, "Not Found")</f>
        <v>67.186662869053364</v>
      </c>
      <c r="D166" cm="1">
        <f t="array" aca="1" ref="D166" ca="1">_xlfn.XLOOKUP(TEXT(A166, "mmm-yy"), TEXT([1]Monthly!$C:$C, "mmm-yy"), [1]Monthly!$R:$R, "Not Found")</f>
        <v>63.095939238773788</v>
      </c>
      <c r="E166" cm="1">
        <f t="array" aca="1" ref="E166" ca="1">_xlfn.XLOOKUP(TEXT(A166, "mmm-yy"), TEXT([1]Monthly!$C:$C, "mmm-yy"), [1]Monthly!$S:$S, "Not Found")</f>
        <v>73.832889186041868</v>
      </c>
      <c r="F166" cm="1">
        <f t="array" aca="1" ref="F166" ca="1">_xlfn.XLOOKUP(TEXT(A166, "mmm-yy"), TEXT([2]RUNS!$B$5:$B$208, "mmm-yy"), [2]RUNS!$D$5:$D$208, "Not Found")</f>
        <v>31461.620603388652</v>
      </c>
      <c r="G166">
        <f>AVERAGE([3]Sheet1!$H2388,[3]Sheet1!$H2650)</f>
        <v>15095.75</v>
      </c>
      <c r="H166">
        <f>AVERAGE([3]Sheet1!$I2388,[3]Sheet1!$I2650)</f>
        <v>0.80500000000000682</v>
      </c>
      <c r="I166" cm="1">
        <f t="array" aca="1" ref="I166" ca="1">_xlfn.XLOOKUP(TEXT(A166, "mmm-yy"), TEXT([2]GASOLINE!$B$5:$B$208, "mmm-yy"), [2]GASOLINE!$IR$5:$IR$208, "Not Found")</f>
        <v>-209.33802900108475</v>
      </c>
      <c r="J166" cm="1">
        <f t="array" aca="1" ref="J166" ca="1">_xlfn.XLOOKUP(TEXT(A166, "mmm-yy"), TEXT([2]GASOLINE!$B$5:$B$208, "mmm-yy"), [2]GASOLINE!$IK$5:$IK$208, "Not Found")</f>
        <v>332.47424667604156</v>
      </c>
      <c r="K166">
        <f t="shared" ca="1" si="4"/>
        <v>0</v>
      </c>
      <c r="L166" cm="1">
        <f t="array" aca="1" ref="L166" ca="1">_xlfn.XLOOKUP(TEXT(A166, "mmm-yy"), TEXT([2]GASOLINE!$B$5:$B$208, "mmm-yy"), [2]GASOLINE!$C$5:$C$208, "Not Found")</f>
        <v>7822.3911552204609</v>
      </c>
      <c r="M166" cm="1">
        <f t="array" aca="1" ref="M166" ca="1">_xlfn.XLOOKUP(TEXT(A166, "mmm-yy"), TEXT([2]RUNS!$B$5:$B$208, "mmm-yy"), [2]RUNS!$BM$5:$BM$208, "Not Found")</f>
        <v>0.84192666044188558</v>
      </c>
    </row>
    <row r="167" spans="1:13" x14ac:dyDescent="0.25">
      <c r="A167" s="1">
        <f t="shared" ca="1" si="5"/>
        <v>46014</v>
      </c>
      <c r="B167" cm="1">
        <f t="array" aca="1" ref="B167" ca="1">_xlfn.XLOOKUP(TEXT(A167, "mmm-yy"), TEXT([1]Monthly!$C:$C, "mmm-yy"), [1]Monthly!$O:$O, "Not Found")</f>
        <v>67.162889186041866</v>
      </c>
      <c r="C167" cm="1">
        <f t="array" aca="1" ref="C167" ca="1">_xlfn.XLOOKUP(TEXT(A167, "mmm-yy"), TEXT([1]Monthly!$C:$C, "mmm-yy"), [1]Monthly!$P:$P, "Not Found")</f>
        <v>67.186662869053364</v>
      </c>
      <c r="D167" cm="1">
        <f t="array" aca="1" ref="D167" ca="1">_xlfn.XLOOKUP(TEXT(A167, "mmm-yy"), TEXT([1]Monthly!$C:$C, "mmm-yy"), [1]Monthly!$R:$R, "Not Found")</f>
        <v>63.095939238773788</v>
      </c>
      <c r="E167" cm="1">
        <f t="array" aca="1" ref="E167" ca="1">_xlfn.XLOOKUP(TEXT(A167, "mmm-yy"), TEXT([1]Monthly!$C:$C, "mmm-yy"), [1]Monthly!$S:$S, "Not Found")</f>
        <v>73.832889186041868</v>
      </c>
      <c r="F167" cm="1">
        <f t="array" aca="1" ref="F167" ca="1">_xlfn.XLOOKUP(TEXT(A167, "mmm-yy"), TEXT([2]RUNS!$B$5:$B$208, "mmm-yy"), [2]RUNS!$D$5:$D$208, "Not Found")</f>
        <v>31461.620603388652</v>
      </c>
      <c r="G167">
        <f>AVERAGE([3]Sheet1!$H2389,[3]Sheet1!$H2651)</f>
        <v>15095.75</v>
      </c>
      <c r="H167">
        <f>AVERAGE([3]Sheet1!$I2389,[3]Sheet1!$I2651)</f>
        <v>0.71499999999999631</v>
      </c>
      <c r="I167" cm="1">
        <f t="array" aca="1" ref="I167" ca="1">_xlfn.XLOOKUP(TEXT(A167, "mmm-yy"), TEXT([2]GASOLINE!$B$5:$B$208, "mmm-yy"), [2]GASOLINE!$IR$5:$IR$208, "Not Found")</f>
        <v>-209.33802900108475</v>
      </c>
      <c r="J167" cm="1">
        <f t="array" aca="1" ref="J167" ca="1">_xlfn.XLOOKUP(TEXT(A167, "mmm-yy"), TEXT([2]GASOLINE!$B$5:$B$208, "mmm-yy"), [2]GASOLINE!$IK$5:$IK$208, "Not Found")</f>
        <v>332.47424667604156</v>
      </c>
      <c r="K167">
        <f t="shared" ca="1" si="4"/>
        <v>0</v>
      </c>
      <c r="L167" cm="1">
        <f t="array" aca="1" ref="L167" ca="1">_xlfn.XLOOKUP(TEXT(A167, "mmm-yy"), TEXT([2]GASOLINE!$B$5:$B$208, "mmm-yy"), [2]GASOLINE!$C$5:$C$208, "Not Found")</f>
        <v>7822.3911552204609</v>
      </c>
      <c r="M167" cm="1">
        <f t="array" aca="1" ref="M167" ca="1">_xlfn.XLOOKUP(TEXT(A167, "mmm-yy"), TEXT([2]RUNS!$B$5:$B$208, "mmm-yy"), [2]RUNS!$BM$5:$BM$208, "Not Found")</f>
        <v>0.84192666044188558</v>
      </c>
    </row>
    <row r="168" spans="1:13" x14ac:dyDescent="0.25">
      <c r="A168" s="1">
        <f t="shared" ca="1" si="5"/>
        <v>46015</v>
      </c>
      <c r="B168" cm="1">
        <f t="array" aca="1" ref="B168" ca="1">_xlfn.XLOOKUP(TEXT(A168, "mmm-yy"), TEXT([1]Monthly!$C:$C, "mmm-yy"), [1]Monthly!$O:$O, "Not Found")</f>
        <v>67.162889186041866</v>
      </c>
      <c r="C168" cm="1">
        <f t="array" aca="1" ref="C168" ca="1">_xlfn.XLOOKUP(TEXT(A168, "mmm-yy"), TEXT([1]Monthly!$C:$C, "mmm-yy"), [1]Monthly!$P:$P, "Not Found")</f>
        <v>67.186662869053364</v>
      </c>
      <c r="D168" cm="1">
        <f t="array" aca="1" ref="D168" ca="1">_xlfn.XLOOKUP(TEXT(A168, "mmm-yy"), TEXT([1]Monthly!$C:$C, "mmm-yy"), [1]Monthly!$R:$R, "Not Found")</f>
        <v>63.095939238773788</v>
      </c>
      <c r="E168" cm="1">
        <f t="array" aca="1" ref="E168" ca="1">_xlfn.XLOOKUP(TEXT(A168, "mmm-yy"), TEXT([1]Monthly!$C:$C, "mmm-yy"), [1]Monthly!$S:$S, "Not Found")</f>
        <v>73.832889186041868</v>
      </c>
      <c r="F168" cm="1">
        <f t="array" aca="1" ref="F168" ca="1">_xlfn.XLOOKUP(TEXT(A168, "mmm-yy"), TEXT([2]RUNS!$B$5:$B$208, "mmm-yy"), [2]RUNS!$D$5:$D$208, "Not Found")</f>
        <v>31461.620603388652</v>
      </c>
      <c r="G168">
        <f>AVERAGE([3]Sheet1!$H2390,[3]Sheet1!$H2652)</f>
        <v>15095.75</v>
      </c>
      <c r="H168">
        <f>AVERAGE([3]Sheet1!$I2390,[3]Sheet1!$I2652)</f>
        <v>0.76499999999999346</v>
      </c>
      <c r="I168" cm="1">
        <f t="array" aca="1" ref="I168" ca="1">_xlfn.XLOOKUP(TEXT(A168, "mmm-yy"), TEXT([2]GASOLINE!$B$5:$B$208, "mmm-yy"), [2]GASOLINE!$IR$5:$IR$208, "Not Found")</f>
        <v>-209.33802900108475</v>
      </c>
      <c r="J168" cm="1">
        <f t="array" aca="1" ref="J168" ca="1">_xlfn.XLOOKUP(TEXT(A168, "mmm-yy"), TEXT([2]GASOLINE!$B$5:$B$208, "mmm-yy"), [2]GASOLINE!$IK$5:$IK$208, "Not Found")</f>
        <v>332.47424667604156</v>
      </c>
      <c r="K168">
        <f t="shared" ca="1" si="4"/>
        <v>0</v>
      </c>
      <c r="L168" cm="1">
        <f t="array" aca="1" ref="L168" ca="1">_xlfn.XLOOKUP(TEXT(A168, "mmm-yy"), TEXT([2]GASOLINE!$B$5:$B$208, "mmm-yy"), [2]GASOLINE!$C$5:$C$208, "Not Found")</f>
        <v>7822.3911552204609</v>
      </c>
      <c r="M168" cm="1">
        <f t="array" aca="1" ref="M168" ca="1">_xlfn.XLOOKUP(TEXT(A168, "mmm-yy"), TEXT([2]RUNS!$B$5:$B$208, "mmm-yy"), [2]RUNS!$BM$5:$BM$208, "Not Found")</f>
        <v>0.84192666044188558</v>
      </c>
    </row>
    <row r="169" spans="1:13" x14ac:dyDescent="0.25">
      <c r="A169" s="1">
        <f t="shared" ca="1" si="5"/>
        <v>46016</v>
      </c>
      <c r="B169" cm="1">
        <f t="array" aca="1" ref="B169" ca="1">_xlfn.XLOOKUP(TEXT(A169, "mmm-yy"), TEXT([1]Monthly!$C:$C, "mmm-yy"), [1]Monthly!$O:$O, "Not Found")</f>
        <v>67.162889186041866</v>
      </c>
      <c r="C169" cm="1">
        <f t="array" aca="1" ref="C169" ca="1">_xlfn.XLOOKUP(TEXT(A169, "mmm-yy"), TEXT([1]Monthly!$C:$C, "mmm-yy"), [1]Monthly!$P:$P, "Not Found")</f>
        <v>67.186662869053364</v>
      </c>
      <c r="D169" cm="1">
        <f t="array" aca="1" ref="D169" ca="1">_xlfn.XLOOKUP(TEXT(A169, "mmm-yy"), TEXT([1]Monthly!$C:$C, "mmm-yy"), [1]Monthly!$R:$R, "Not Found")</f>
        <v>63.095939238773788</v>
      </c>
      <c r="E169" cm="1">
        <f t="array" aca="1" ref="E169" ca="1">_xlfn.XLOOKUP(TEXT(A169, "mmm-yy"), TEXT([1]Monthly!$C:$C, "mmm-yy"), [1]Monthly!$S:$S, "Not Found")</f>
        <v>73.832889186041868</v>
      </c>
      <c r="F169" cm="1">
        <f t="array" aca="1" ref="F169" ca="1">_xlfn.XLOOKUP(TEXT(A169, "mmm-yy"), TEXT([2]RUNS!$B$5:$B$208, "mmm-yy"), [2]RUNS!$D$5:$D$208, "Not Found")</f>
        <v>31461.620603388652</v>
      </c>
      <c r="G169">
        <f>AVERAGE([3]Sheet1!$H2391,[3]Sheet1!$H2653)</f>
        <v>15095.75</v>
      </c>
      <c r="H169">
        <f>AVERAGE([3]Sheet1!$I2391,[3]Sheet1!$I2653)</f>
        <v>0.75500000000000966</v>
      </c>
      <c r="I169" cm="1">
        <f t="array" aca="1" ref="I169" ca="1">_xlfn.XLOOKUP(TEXT(A169, "mmm-yy"), TEXT([2]GASOLINE!$B$5:$B$208, "mmm-yy"), [2]GASOLINE!$IR$5:$IR$208, "Not Found")</f>
        <v>-209.33802900108475</v>
      </c>
      <c r="J169" cm="1">
        <f t="array" aca="1" ref="J169" ca="1">_xlfn.XLOOKUP(TEXT(A169, "mmm-yy"), TEXT([2]GASOLINE!$B$5:$B$208, "mmm-yy"), [2]GASOLINE!$IK$5:$IK$208, "Not Found")</f>
        <v>332.47424667604156</v>
      </c>
      <c r="K169">
        <f t="shared" ca="1" si="4"/>
        <v>0</v>
      </c>
      <c r="L169" cm="1">
        <f t="array" aca="1" ref="L169" ca="1">_xlfn.XLOOKUP(TEXT(A169, "mmm-yy"), TEXT([2]GASOLINE!$B$5:$B$208, "mmm-yy"), [2]GASOLINE!$C$5:$C$208, "Not Found")</f>
        <v>7822.3911552204609</v>
      </c>
      <c r="M169" cm="1">
        <f t="array" aca="1" ref="M169" ca="1">_xlfn.XLOOKUP(TEXT(A169, "mmm-yy"), TEXT([2]RUNS!$B$5:$B$208, "mmm-yy"), [2]RUNS!$BM$5:$BM$208, "Not Found")</f>
        <v>0.84192666044188558</v>
      </c>
    </row>
    <row r="170" spans="1:13" x14ac:dyDescent="0.25">
      <c r="A170" s="1">
        <f t="shared" ca="1" si="5"/>
        <v>46017</v>
      </c>
      <c r="B170" cm="1">
        <f t="array" aca="1" ref="B170" ca="1">_xlfn.XLOOKUP(TEXT(A170, "mmm-yy"), TEXT([1]Monthly!$C:$C, "mmm-yy"), [1]Monthly!$O:$O, "Not Found")</f>
        <v>67.162889186041866</v>
      </c>
      <c r="C170" cm="1">
        <f t="array" aca="1" ref="C170" ca="1">_xlfn.XLOOKUP(TEXT(A170, "mmm-yy"), TEXT([1]Monthly!$C:$C, "mmm-yy"), [1]Monthly!$P:$P, "Not Found")</f>
        <v>67.186662869053364</v>
      </c>
      <c r="D170" cm="1">
        <f t="array" aca="1" ref="D170" ca="1">_xlfn.XLOOKUP(TEXT(A170, "mmm-yy"), TEXT([1]Monthly!$C:$C, "mmm-yy"), [1]Monthly!$R:$R, "Not Found")</f>
        <v>63.095939238773788</v>
      </c>
      <c r="E170" cm="1">
        <f t="array" aca="1" ref="E170" ca="1">_xlfn.XLOOKUP(TEXT(A170, "mmm-yy"), TEXT([1]Monthly!$C:$C, "mmm-yy"), [1]Monthly!$S:$S, "Not Found")</f>
        <v>73.832889186041868</v>
      </c>
      <c r="F170" cm="1">
        <f t="array" aca="1" ref="F170" ca="1">_xlfn.XLOOKUP(TEXT(A170, "mmm-yy"), TEXT([2]RUNS!$B$5:$B$208, "mmm-yy"), [2]RUNS!$D$5:$D$208, "Not Found")</f>
        <v>31461.620603388652</v>
      </c>
      <c r="G170">
        <f>AVERAGE([3]Sheet1!$H2392,[3]Sheet1!$H2654)</f>
        <v>15054.125</v>
      </c>
      <c r="H170">
        <f>AVERAGE([3]Sheet1!$I2392,[3]Sheet1!$I2654)</f>
        <v>0.68000000000000682</v>
      </c>
      <c r="I170" cm="1">
        <f t="array" aca="1" ref="I170" ca="1">_xlfn.XLOOKUP(TEXT(A170, "mmm-yy"), TEXT([2]GASOLINE!$B$5:$B$208, "mmm-yy"), [2]GASOLINE!$IR$5:$IR$208, "Not Found")</f>
        <v>-209.33802900108475</v>
      </c>
      <c r="J170" cm="1">
        <f t="array" aca="1" ref="J170" ca="1">_xlfn.XLOOKUP(TEXT(A170, "mmm-yy"), TEXT([2]GASOLINE!$B$5:$B$208, "mmm-yy"), [2]GASOLINE!$IK$5:$IK$208, "Not Found")</f>
        <v>332.47424667604156</v>
      </c>
      <c r="K170">
        <f t="shared" ca="1" si="4"/>
        <v>0</v>
      </c>
      <c r="L170" cm="1">
        <f t="array" aca="1" ref="L170" ca="1">_xlfn.XLOOKUP(TEXT(A170, "mmm-yy"), TEXT([2]GASOLINE!$B$5:$B$208, "mmm-yy"), [2]GASOLINE!$C$5:$C$208, "Not Found")</f>
        <v>7822.3911552204609</v>
      </c>
      <c r="M170" cm="1">
        <f t="array" aca="1" ref="M170" ca="1">_xlfn.XLOOKUP(TEXT(A170, "mmm-yy"), TEXT([2]RUNS!$B$5:$B$208, "mmm-yy"), [2]RUNS!$BM$5:$BM$208, "Not Found")</f>
        <v>0.84192666044188558</v>
      </c>
    </row>
    <row r="171" spans="1:13" x14ac:dyDescent="0.25">
      <c r="A171" s="1">
        <f t="shared" ca="1" si="5"/>
        <v>46018</v>
      </c>
      <c r="B171" cm="1">
        <f t="array" aca="1" ref="B171" ca="1">_xlfn.XLOOKUP(TEXT(A171, "mmm-yy"), TEXT([1]Monthly!$C:$C, "mmm-yy"), [1]Monthly!$O:$O, "Not Found")</f>
        <v>67.162889186041866</v>
      </c>
      <c r="C171" cm="1">
        <f t="array" aca="1" ref="C171" ca="1">_xlfn.XLOOKUP(TEXT(A171, "mmm-yy"), TEXT([1]Monthly!$C:$C, "mmm-yy"), [1]Monthly!$P:$P, "Not Found")</f>
        <v>67.186662869053364</v>
      </c>
      <c r="D171" cm="1">
        <f t="array" aca="1" ref="D171" ca="1">_xlfn.XLOOKUP(TEXT(A171, "mmm-yy"), TEXT([1]Monthly!$C:$C, "mmm-yy"), [1]Monthly!$R:$R, "Not Found")</f>
        <v>63.095939238773788</v>
      </c>
      <c r="E171" cm="1">
        <f t="array" aca="1" ref="E171" ca="1">_xlfn.XLOOKUP(TEXT(A171, "mmm-yy"), TEXT([1]Monthly!$C:$C, "mmm-yy"), [1]Monthly!$S:$S, "Not Found")</f>
        <v>73.832889186041868</v>
      </c>
      <c r="F171" cm="1">
        <f t="array" aca="1" ref="F171" ca="1">_xlfn.XLOOKUP(TEXT(A171, "mmm-yy"), TEXT([2]RUNS!$B$5:$B$208, "mmm-yy"), [2]RUNS!$D$5:$D$208, "Not Found")</f>
        <v>31461.620603388652</v>
      </c>
      <c r="G171">
        <f>AVERAGE([3]Sheet1!$H2393,[3]Sheet1!$H2655)</f>
        <v>15645.25</v>
      </c>
      <c r="H171">
        <f>AVERAGE([3]Sheet1!$I2393,[3]Sheet1!$I2655)</f>
        <v>0.79500000000000171</v>
      </c>
      <c r="I171" cm="1">
        <f t="array" aca="1" ref="I171" ca="1">_xlfn.XLOOKUP(TEXT(A171, "mmm-yy"), TEXT([2]GASOLINE!$B$5:$B$208, "mmm-yy"), [2]GASOLINE!$IR$5:$IR$208, "Not Found")</f>
        <v>-209.33802900108475</v>
      </c>
      <c r="J171" cm="1">
        <f t="array" aca="1" ref="J171" ca="1">_xlfn.XLOOKUP(TEXT(A171, "mmm-yy"), TEXT([2]GASOLINE!$B$5:$B$208, "mmm-yy"), [2]GASOLINE!$IK$5:$IK$208, "Not Found")</f>
        <v>332.47424667604156</v>
      </c>
      <c r="K171">
        <f t="shared" ca="1" si="4"/>
        <v>0</v>
      </c>
      <c r="L171" cm="1">
        <f t="array" aca="1" ref="L171" ca="1">_xlfn.XLOOKUP(TEXT(A171, "mmm-yy"), TEXT([2]GASOLINE!$B$5:$B$208, "mmm-yy"), [2]GASOLINE!$C$5:$C$208, "Not Found")</f>
        <v>7822.3911552204609</v>
      </c>
      <c r="M171" cm="1">
        <f t="array" aca="1" ref="M171" ca="1">_xlfn.XLOOKUP(TEXT(A171, "mmm-yy"), TEXT([2]RUNS!$B$5:$B$208, "mmm-yy"), [2]RUNS!$BM$5:$BM$208, "Not Found")</f>
        <v>0.84192666044188558</v>
      </c>
    </row>
    <row r="172" spans="1:13" x14ac:dyDescent="0.25">
      <c r="A172" s="1">
        <f t="shared" ca="1" si="5"/>
        <v>46019</v>
      </c>
      <c r="B172" cm="1">
        <f t="array" aca="1" ref="B172" ca="1">_xlfn.XLOOKUP(TEXT(A172, "mmm-yy"), TEXT([1]Monthly!$C:$C, "mmm-yy"), [1]Monthly!$O:$O, "Not Found")</f>
        <v>67.162889186041866</v>
      </c>
      <c r="C172" cm="1">
        <f t="array" aca="1" ref="C172" ca="1">_xlfn.XLOOKUP(TEXT(A172, "mmm-yy"), TEXT([1]Monthly!$C:$C, "mmm-yy"), [1]Monthly!$P:$P, "Not Found")</f>
        <v>67.186662869053364</v>
      </c>
      <c r="D172" cm="1">
        <f t="array" aca="1" ref="D172" ca="1">_xlfn.XLOOKUP(TEXT(A172, "mmm-yy"), TEXT([1]Monthly!$C:$C, "mmm-yy"), [1]Monthly!$R:$R, "Not Found")</f>
        <v>63.095939238773788</v>
      </c>
      <c r="E172" cm="1">
        <f t="array" aca="1" ref="E172" ca="1">_xlfn.XLOOKUP(TEXT(A172, "mmm-yy"), TEXT([1]Monthly!$C:$C, "mmm-yy"), [1]Monthly!$S:$S, "Not Found")</f>
        <v>73.832889186041868</v>
      </c>
      <c r="F172" cm="1">
        <f t="array" aca="1" ref="F172" ca="1">_xlfn.XLOOKUP(TEXT(A172, "mmm-yy"), TEXT([2]RUNS!$B$5:$B$208, "mmm-yy"), [2]RUNS!$D$5:$D$208, "Not Found")</f>
        <v>31461.620603388652</v>
      </c>
      <c r="G172">
        <f>AVERAGE([3]Sheet1!$H2394,[3]Sheet1!$H2656)</f>
        <v>15645.25</v>
      </c>
      <c r="H172">
        <f>AVERAGE([3]Sheet1!$I2394,[3]Sheet1!$I2656)</f>
        <v>0.56000000000000227</v>
      </c>
      <c r="I172" cm="1">
        <f t="array" aca="1" ref="I172" ca="1">_xlfn.XLOOKUP(TEXT(A172, "mmm-yy"), TEXT([2]GASOLINE!$B$5:$B$208, "mmm-yy"), [2]GASOLINE!$IR$5:$IR$208, "Not Found")</f>
        <v>-209.33802900108475</v>
      </c>
      <c r="J172" cm="1">
        <f t="array" aca="1" ref="J172" ca="1">_xlfn.XLOOKUP(TEXT(A172, "mmm-yy"), TEXT([2]GASOLINE!$B$5:$B$208, "mmm-yy"), [2]GASOLINE!$IK$5:$IK$208, "Not Found")</f>
        <v>332.47424667604156</v>
      </c>
      <c r="K172">
        <f t="shared" ca="1" si="4"/>
        <v>0</v>
      </c>
      <c r="L172" cm="1">
        <f t="array" aca="1" ref="L172" ca="1">_xlfn.XLOOKUP(TEXT(A172, "mmm-yy"), TEXT([2]GASOLINE!$B$5:$B$208, "mmm-yy"), [2]GASOLINE!$C$5:$C$208, "Not Found")</f>
        <v>7822.3911552204609</v>
      </c>
      <c r="M172" cm="1">
        <f t="array" aca="1" ref="M172" ca="1">_xlfn.XLOOKUP(TEXT(A172, "mmm-yy"), TEXT([2]RUNS!$B$5:$B$208, "mmm-yy"), [2]RUNS!$BM$5:$BM$208, "Not Found")</f>
        <v>0.84192666044188558</v>
      </c>
    </row>
    <row r="173" spans="1:13" x14ac:dyDescent="0.25">
      <c r="A173" s="1">
        <f t="shared" ca="1" si="5"/>
        <v>46020</v>
      </c>
      <c r="B173" cm="1">
        <f t="array" aca="1" ref="B173" ca="1">_xlfn.XLOOKUP(TEXT(A173, "mmm-yy"), TEXT([1]Monthly!$C:$C, "mmm-yy"), [1]Monthly!$O:$O, "Not Found")</f>
        <v>67.162889186041866</v>
      </c>
      <c r="C173" cm="1">
        <f t="array" aca="1" ref="C173" ca="1">_xlfn.XLOOKUP(TEXT(A173, "mmm-yy"), TEXT([1]Monthly!$C:$C, "mmm-yy"), [1]Monthly!$P:$P, "Not Found")</f>
        <v>67.186662869053364</v>
      </c>
      <c r="D173" cm="1">
        <f t="array" aca="1" ref="D173" ca="1">_xlfn.XLOOKUP(TEXT(A173, "mmm-yy"), TEXT([1]Monthly!$C:$C, "mmm-yy"), [1]Monthly!$R:$R, "Not Found")</f>
        <v>63.095939238773788</v>
      </c>
      <c r="E173" cm="1">
        <f t="array" aca="1" ref="E173" ca="1">_xlfn.XLOOKUP(TEXT(A173, "mmm-yy"), TEXT([1]Monthly!$C:$C, "mmm-yy"), [1]Monthly!$S:$S, "Not Found")</f>
        <v>73.832889186041868</v>
      </c>
      <c r="F173" cm="1">
        <f t="array" aca="1" ref="F173" ca="1">_xlfn.XLOOKUP(TEXT(A173, "mmm-yy"), TEXT([2]RUNS!$B$5:$B$208, "mmm-yy"), [2]RUNS!$D$5:$D$208, "Not Found")</f>
        <v>31461.620603388652</v>
      </c>
      <c r="G173">
        <f>AVERAGE([3]Sheet1!$H2395,[3]Sheet1!$H2657)</f>
        <v>15645.25</v>
      </c>
      <c r="H173">
        <f>AVERAGE([3]Sheet1!$I2395,[3]Sheet1!$I2657)</f>
        <v>0.63000000000000256</v>
      </c>
      <c r="I173" cm="1">
        <f t="array" aca="1" ref="I173" ca="1">_xlfn.XLOOKUP(TEXT(A173, "mmm-yy"), TEXT([2]GASOLINE!$B$5:$B$208, "mmm-yy"), [2]GASOLINE!$IR$5:$IR$208, "Not Found")</f>
        <v>-209.33802900108475</v>
      </c>
      <c r="J173" cm="1">
        <f t="array" aca="1" ref="J173" ca="1">_xlfn.XLOOKUP(TEXT(A173, "mmm-yy"), TEXT([2]GASOLINE!$B$5:$B$208, "mmm-yy"), [2]GASOLINE!$IK$5:$IK$208, "Not Found")</f>
        <v>332.47424667604156</v>
      </c>
      <c r="K173">
        <f t="shared" ca="1" si="4"/>
        <v>0</v>
      </c>
      <c r="L173" cm="1">
        <f t="array" aca="1" ref="L173" ca="1">_xlfn.XLOOKUP(TEXT(A173, "mmm-yy"), TEXT([2]GASOLINE!$B$5:$B$208, "mmm-yy"), [2]GASOLINE!$C$5:$C$208, "Not Found")</f>
        <v>7822.3911552204609</v>
      </c>
      <c r="M173" cm="1">
        <f t="array" aca="1" ref="M173" ca="1">_xlfn.XLOOKUP(TEXT(A173, "mmm-yy"), TEXT([2]RUNS!$B$5:$B$208, "mmm-yy"), [2]RUNS!$BM$5:$BM$208, "Not Found")</f>
        <v>0.84192666044188558</v>
      </c>
    </row>
    <row r="174" spans="1:13" x14ac:dyDescent="0.25">
      <c r="A174" s="1">
        <f t="shared" ca="1" si="5"/>
        <v>46021</v>
      </c>
      <c r="B174" cm="1">
        <f t="array" aca="1" ref="B174" ca="1">_xlfn.XLOOKUP(TEXT(A174, "mmm-yy"), TEXT([1]Monthly!$C:$C, "mmm-yy"), [1]Monthly!$O:$O, "Not Found")</f>
        <v>67.162889186041866</v>
      </c>
      <c r="C174" cm="1">
        <f t="array" aca="1" ref="C174" ca="1">_xlfn.XLOOKUP(TEXT(A174, "mmm-yy"), TEXT([1]Monthly!$C:$C, "mmm-yy"), [1]Monthly!$P:$P, "Not Found")</f>
        <v>67.186662869053364</v>
      </c>
      <c r="D174" cm="1">
        <f t="array" aca="1" ref="D174" ca="1">_xlfn.XLOOKUP(TEXT(A174, "mmm-yy"), TEXT([1]Monthly!$C:$C, "mmm-yy"), [1]Monthly!$R:$R, "Not Found")</f>
        <v>63.095939238773788</v>
      </c>
      <c r="E174" cm="1">
        <f t="array" aca="1" ref="E174" ca="1">_xlfn.XLOOKUP(TEXT(A174, "mmm-yy"), TEXT([1]Monthly!$C:$C, "mmm-yy"), [1]Monthly!$S:$S, "Not Found")</f>
        <v>73.832889186041868</v>
      </c>
      <c r="F174" cm="1">
        <f t="array" aca="1" ref="F174" ca="1">_xlfn.XLOOKUP(TEXT(A174, "mmm-yy"), TEXT([2]RUNS!$B$5:$B$208, "mmm-yy"), [2]RUNS!$D$5:$D$208, "Not Found")</f>
        <v>31461.620603388652</v>
      </c>
      <c r="G174">
        <f>AVERAGE([3]Sheet1!$H2396,[3]Sheet1!$H2658)</f>
        <v>15645.25</v>
      </c>
      <c r="H174">
        <f>AVERAGE([3]Sheet1!$I2396,[3]Sheet1!$I2658)</f>
        <v>0.62499999999999289</v>
      </c>
      <c r="I174" cm="1">
        <f t="array" aca="1" ref="I174" ca="1">_xlfn.XLOOKUP(TEXT(A174, "mmm-yy"), TEXT([2]GASOLINE!$B$5:$B$208, "mmm-yy"), [2]GASOLINE!$IR$5:$IR$208, "Not Found")</f>
        <v>-209.33802900108475</v>
      </c>
      <c r="J174" cm="1">
        <f t="array" aca="1" ref="J174" ca="1">_xlfn.XLOOKUP(TEXT(A174, "mmm-yy"), TEXT([2]GASOLINE!$B$5:$B$208, "mmm-yy"), [2]GASOLINE!$IK$5:$IK$208, "Not Found")</f>
        <v>332.47424667604156</v>
      </c>
      <c r="K174">
        <f t="shared" ca="1" si="4"/>
        <v>0</v>
      </c>
      <c r="L174" cm="1">
        <f t="array" aca="1" ref="L174" ca="1">_xlfn.XLOOKUP(TEXT(A174, "mmm-yy"), TEXT([2]GASOLINE!$B$5:$B$208, "mmm-yy"), [2]GASOLINE!$C$5:$C$208, "Not Found")</f>
        <v>7822.3911552204609</v>
      </c>
      <c r="M174" cm="1">
        <f t="array" aca="1" ref="M174" ca="1">_xlfn.XLOOKUP(TEXT(A174, "mmm-yy"), TEXT([2]RUNS!$B$5:$B$208, "mmm-yy"), [2]RUNS!$BM$5:$BM$208, "Not Found")</f>
        <v>0.84192666044188558</v>
      </c>
    </row>
    <row r="175" spans="1:13" x14ac:dyDescent="0.25">
      <c r="A175" s="1">
        <f t="shared" ca="1" si="5"/>
        <v>46022</v>
      </c>
      <c r="B175" cm="1">
        <f t="array" aca="1" ref="B175" ca="1">_xlfn.XLOOKUP(TEXT(A175, "mmm-yy"), TEXT([1]Monthly!$C:$C, "mmm-yy"), [1]Monthly!$O:$O, "Not Found")</f>
        <v>67.162889186041866</v>
      </c>
      <c r="C175" cm="1">
        <f t="array" aca="1" ref="C175" ca="1">_xlfn.XLOOKUP(TEXT(A175, "mmm-yy"), TEXT([1]Monthly!$C:$C, "mmm-yy"), [1]Monthly!$P:$P, "Not Found")</f>
        <v>67.186662869053364</v>
      </c>
      <c r="D175" cm="1">
        <f t="array" aca="1" ref="D175" ca="1">_xlfn.XLOOKUP(TEXT(A175, "mmm-yy"), TEXT([1]Monthly!$C:$C, "mmm-yy"), [1]Monthly!$R:$R, "Not Found")</f>
        <v>63.095939238773788</v>
      </c>
      <c r="E175" cm="1">
        <f t="array" aca="1" ref="E175" ca="1">_xlfn.XLOOKUP(TEXT(A175, "mmm-yy"), TEXT([1]Monthly!$C:$C, "mmm-yy"), [1]Monthly!$S:$S, "Not Found")</f>
        <v>73.832889186041868</v>
      </c>
      <c r="F175" cm="1">
        <f t="array" aca="1" ref="F175" ca="1">_xlfn.XLOOKUP(TEXT(A175, "mmm-yy"), TEXT([2]RUNS!$B$5:$B$208, "mmm-yy"), [2]RUNS!$D$5:$D$208, "Not Found")</f>
        <v>31461.620603388652</v>
      </c>
      <c r="G175">
        <f>AVERAGE([3]Sheet1!$H2397,[3]Sheet1!$H2659)</f>
        <v>15645.25</v>
      </c>
      <c r="H175">
        <f>AVERAGE([3]Sheet1!$I2397,[3]Sheet1!$I2659)</f>
        <v>0.61500000000000199</v>
      </c>
      <c r="I175" cm="1">
        <f t="array" aca="1" ref="I175" ca="1">_xlfn.XLOOKUP(TEXT(A175, "mmm-yy"), TEXT([2]GASOLINE!$B$5:$B$208, "mmm-yy"), [2]GASOLINE!$IR$5:$IR$208, "Not Found")</f>
        <v>-209.33802900108475</v>
      </c>
      <c r="J175" cm="1">
        <f t="array" aca="1" ref="J175" ca="1">_xlfn.XLOOKUP(TEXT(A175, "mmm-yy"), TEXT([2]GASOLINE!$B$5:$B$208, "mmm-yy"), [2]GASOLINE!$IK$5:$IK$208, "Not Found")</f>
        <v>332.47424667604156</v>
      </c>
      <c r="K175">
        <f t="shared" ca="1" si="4"/>
        <v>0</v>
      </c>
      <c r="L175" cm="1">
        <f t="array" aca="1" ref="L175" ca="1">_xlfn.XLOOKUP(TEXT(A175, "mmm-yy"), TEXT([2]GASOLINE!$B$5:$B$208, "mmm-yy"), [2]GASOLINE!$C$5:$C$208, "Not Found")</f>
        <v>7822.3911552204609</v>
      </c>
      <c r="M175" cm="1">
        <f t="array" aca="1" ref="M175" ca="1">_xlfn.XLOOKUP(TEXT(A175, "mmm-yy"), TEXT([2]RUNS!$B$5:$B$208, "mmm-yy"), [2]RUNS!$BM$5:$BM$208, "Not Found")</f>
        <v>0.84192666044188558</v>
      </c>
    </row>
    <row r="176" spans="1:13" x14ac:dyDescent="0.25">
      <c r="A176" s="1">
        <f t="shared" ca="1" si="5"/>
        <v>46023</v>
      </c>
      <c r="B176" cm="1">
        <f t="array" aca="1" ref="B176" ca="1">_xlfn.XLOOKUP(TEXT(A176, "mmm-yy"), TEXT([1]Monthly!$C:$C, "mmm-yy"), [1]Monthly!$O:$O, "Not Found")</f>
        <v>67.249082069265114</v>
      </c>
      <c r="C176" cm="1">
        <f t="array" aca="1" ref="C176" ca="1">_xlfn.XLOOKUP(TEXT(A176, "mmm-yy"), TEXT([1]Monthly!$C:$C, "mmm-yy"), [1]Monthly!$P:$P, "Not Found")</f>
        <v>66.318139755027815</v>
      </c>
      <c r="D176" cm="1">
        <f t="array" aca="1" ref="D176" ca="1">_xlfn.XLOOKUP(TEXT(A176, "mmm-yy"), TEXT([1]Monthly!$C:$C, "mmm-yy"), [1]Monthly!$R:$R, "Not Found")</f>
        <v>63.411038872773403</v>
      </c>
      <c r="E176" cm="1">
        <f t="array" aca="1" ref="E176" ca="1">_xlfn.XLOOKUP(TEXT(A176, "mmm-yy"), TEXT([1]Monthly!$C:$C, "mmm-yy"), [1]Monthly!$S:$S, "Not Found")</f>
        <v>74.26908206926511</v>
      </c>
      <c r="F176" cm="1">
        <f t="array" aca="1" ref="F176" ca="1">_xlfn.XLOOKUP(TEXT(A176, "mmm-yy"), TEXT([2]RUNS!$B$5:$B$208, "mmm-yy"), [2]RUNS!$D$5:$D$208, "Not Found")</f>
        <v>31110.654295631077</v>
      </c>
      <c r="G176">
        <f>AVERAGE([3]Sheet1!$H2398,[3]Sheet1!$H2660)</f>
        <v>15645.25</v>
      </c>
      <c r="H176">
        <f>AVERAGE([3]Sheet1!$I2398,[3]Sheet1!$I2660)</f>
        <v>0.69500000000000028</v>
      </c>
      <c r="I176" cm="1">
        <f t="array" aca="1" ref="I176" ca="1">_xlfn.XLOOKUP(TEXT(A176, "mmm-yy"), TEXT([2]GASOLINE!$B$5:$B$208, "mmm-yy"), [2]GASOLINE!$IR$5:$IR$208, "Not Found")</f>
        <v>-106.47020442228882</v>
      </c>
      <c r="J176" cm="1">
        <f t="array" aca="1" ref="J176" ca="1">_xlfn.XLOOKUP(TEXT(A176, "mmm-yy"), TEXT([2]GASOLINE!$B$5:$B$208, "mmm-yy"), [2]GASOLINE!$IK$5:$IK$208, "Not Found")</f>
        <v>323.00188972114029</v>
      </c>
      <c r="K176">
        <f t="shared" ca="1" si="4"/>
        <v>0</v>
      </c>
      <c r="L176" cm="1">
        <f t="array" aca="1" ref="L176" ca="1">_xlfn.XLOOKUP(TEXT(A176, "mmm-yy"), TEXT([2]GASOLINE!$B$5:$B$208, "mmm-yy"), [2]GASOLINE!$C$5:$C$208, "Not Found")</f>
        <v>7722.2976728506055</v>
      </c>
      <c r="M176" cm="1">
        <f t="array" aca="1" ref="M176" ca="1">_xlfn.XLOOKUP(TEXT(A176, "mmm-yy"), TEXT([2]RUNS!$B$5:$B$208, "mmm-yy"), [2]RUNS!$BM$5:$BM$208, "Not Found")</f>
        <v>0.83253464929462362</v>
      </c>
    </row>
    <row r="177" spans="1:13" x14ac:dyDescent="0.25">
      <c r="A177" s="1">
        <f t="shared" ca="1" si="5"/>
        <v>46024</v>
      </c>
      <c r="B177" cm="1">
        <f t="array" aca="1" ref="B177" ca="1">_xlfn.XLOOKUP(TEXT(A177, "mmm-yy"), TEXT([1]Monthly!$C:$C, "mmm-yy"), [1]Monthly!$O:$O, "Not Found")</f>
        <v>67.249082069265114</v>
      </c>
      <c r="C177" cm="1">
        <f t="array" aca="1" ref="C177" ca="1">_xlfn.XLOOKUP(TEXT(A177, "mmm-yy"), TEXT([1]Monthly!$C:$C, "mmm-yy"), [1]Monthly!$P:$P, "Not Found")</f>
        <v>66.318139755027815</v>
      </c>
      <c r="D177" cm="1">
        <f t="array" aca="1" ref="D177" ca="1">_xlfn.XLOOKUP(TEXT(A177, "mmm-yy"), TEXT([1]Monthly!$C:$C, "mmm-yy"), [1]Monthly!$R:$R, "Not Found")</f>
        <v>63.411038872773403</v>
      </c>
      <c r="E177" cm="1">
        <f t="array" aca="1" ref="E177" ca="1">_xlfn.XLOOKUP(TEXT(A177, "mmm-yy"), TEXT([1]Monthly!$C:$C, "mmm-yy"), [1]Monthly!$S:$S, "Not Found")</f>
        <v>74.26908206926511</v>
      </c>
      <c r="F177" cm="1">
        <f t="array" aca="1" ref="F177" ca="1">_xlfn.XLOOKUP(TEXT(A177, "mmm-yy"), TEXT([2]RUNS!$B$5:$B$208, "mmm-yy"), [2]RUNS!$D$5:$D$208, "Not Found")</f>
        <v>31110.654295631077</v>
      </c>
      <c r="G177">
        <f>AVERAGE([3]Sheet1!$H2399,[3]Sheet1!$H2661)</f>
        <v>15645.25</v>
      </c>
      <c r="H177">
        <f>AVERAGE([3]Sheet1!$I2399,[3]Sheet1!$I2661)</f>
        <v>0.65500000000000114</v>
      </c>
      <c r="I177" cm="1">
        <f t="array" aca="1" ref="I177" ca="1">_xlfn.XLOOKUP(TEXT(A177, "mmm-yy"), TEXT([2]GASOLINE!$B$5:$B$208, "mmm-yy"), [2]GASOLINE!$IR$5:$IR$208, "Not Found")</f>
        <v>-106.47020442228882</v>
      </c>
      <c r="J177" cm="1">
        <f t="array" aca="1" ref="J177" ca="1">_xlfn.XLOOKUP(TEXT(A177, "mmm-yy"), TEXT([2]GASOLINE!$B$5:$B$208, "mmm-yy"), [2]GASOLINE!$IK$5:$IK$208, "Not Found")</f>
        <v>323.00188972114029</v>
      </c>
      <c r="K177">
        <f t="shared" ca="1" si="4"/>
        <v>0</v>
      </c>
      <c r="L177" cm="1">
        <f t="array" aca="1" ref="L177" ca="1">_xlfn.XLOOKUP(TEXT(A177, "mmm-yy"), TEXT([2]GASOLINE!$B$5:$B$208, "mmm-yy"), [2]GASOLINE!$C$5:$C$208, "Not Found")</f>
        <v>7722.2976728506055</v>
      </c>
      <c r="M177" cm="1">
        <f t="array" aca="1" ref="M177" ca="1">_xlfn.XLOOKUP(TEXT(A177, "mmm-yy"), TEXT([2]RUNS!$B$5:$B$208, "mmm-yy"), [2]RUNS!$BM$5:$BM$208, "Not Found")</f>
        <v>0.83253464929462362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Patrina Thng</dc:creator>
  <cp:lastModifiedBy>Patrina Thng</cp:lastModifiedBy>
  <dcterms:created xsi:type="dcterms:W3CDTF">2025-07-09T07:27:39Z</dcterms:created>
  <dcterms:modified xsi:type="dcterms:W3CDTF">2025-07-11T03:49:51Z</dcterms:modified>
</cp:coreProperties>
</file>